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d.docs.live.net/f1cc20ad72d363e4/Desktop/GIS Jan 2024/Main/"/>
    </mc:Choice>
  </mc:AlternateContent>
  <xr:revisionPtr revIDLastSave="1" documentId="8_{24E918D9-1C7A-45CB-B84D-A8B2C35C3B27}" xr6:coauthVersionLast="47" xr6:coauthVersionMax="47" xr10:uidLastSave="{57B7D8EE-A89C-43D9-A4DB-FCCF5DE991CE}"/>
  <bookViews>
    <workbookView xWindow="-120" yWindow="-120" windowWidth="29040" windowHeight="15720" firstSheet="1" activeTab="6" xr2:uid="{47F8ED44-AB30-4EEE-84C7-BF32DADB0084}"/>
  </bookViews>
  <sheets>
    <sheet name="Port Count" sheetId="103" r:id="rId1"/>
    <sheet name="Commercial BoQ Prices" sheetId="58" r:id="rId2"/>
    <sheet name="Customer BoQ" sheetId="77" r:id="rId3"/>
    <sheet name="BPO" sheetId="110" r:id="rId4"/>
    <sheet name="SUMMARY" sheetId="75" r:id="rId5"/>
    <sheet name="Synch Source" sheetId="107" r:id="rId6"/>
    <sheet name="Fixed Switch Migration" sheetId="111" r:id="rId7"/>
    <sheet name="vRR Server Replacement" sheetId="108" r:id="rId8"/>
  </sheets>
  <externalReferences>
    <externalReference r:id="rId9"/>
    <externalReference r:id="rId10"/>
  </externalReferences>
  <definedNames>
    <definedName name="_xlnm._FilterDatabase" localSheetId="3" hidden="1">BPO!$A$5:$J$231</definedName>
    <definedName name="_xlnm._FilterDatabase" localSheetId="2" hidden="1">'Customer BoQ'!$A$1:$D$217</definedName>
    <definedName name="COUNTRIES_CARE">[1]Lists!$BH$2:$BH$261</definedName>
    <definedName name="currency">[1]Search!$O$4</definedName>
    <definedName name="DATE">[1]Cover!$G$16</definedName>
    <definedName name="discount">[1]Search!$M$4</definedName>
    <definedName name="FILENAME">[1]Cover!$F$16</definedName>
    <definedName name="FWD_COST_LABELS" localSheetId="5">#REF!</definedName>
    <definedName name="FWD_COST_LABELS">#REF!</definedName>
    <definedName name="FWD_COST_TABLE" localSheetId="5">#REF!</definedName>
    <definedName name="FWD_COST_TABLE">#REF!</definedName>
    <definedName name="FWDCostQuarters" localSheetId="5">#REF!</definedName>
    <definedName name="FWDCostQuarters">#REF!</definedName>
    <definedName name="FX_RATES_DATE">'[1]Currencies - Full'!$A$5</definedName>
    <definedName name="FX_RATES_VERSION">'[1]Currencies - Full'!$A$4</definedName>
    <definedName name="FX_USD_FWD_RATES">'[1]Currencies - Full'!$A$6:$K$26</definedName>
    <definedName name="GPP_ACTIVE_MTCE_OPTIONS">[1]GPP!$K$6:$K$9</definedName>
    <definedName name="GPP_ACTIVE_MTCE_OPTIONS_COLS">[1]GPP!$M$6:$M$9</definedName>
    <definedName name="GPP_CAD">'[1]GPP BOM'!$F$6</definedName>
    <definedName name="GPP_COL_PROD_DISC">[1]GPP!$C$13</definedName>
    <definedName name="GPP_CURRENCIES">'[1]GPP Lists'!$R$2:$R$3</definedName>
    <definedName name="GPP_CURRENCIES_RATE">'[1]GPP Lists'!$S$2:$S$3</definedName>
    <definedName name="GPP_CURRENCIES_RATE2">[1]GPP!$D$11:$D$12</definedName>
    <definedName name="GPP_CURRENCIES2">[1]GPP!$C$11:$C$12</definedName>
    <definedName name="GPP_CURRENCY">'[1]GPP BOM'!$D$21</definedName>
    <definedName name="GPP_DISCOUNTS">[1]GPP!$B$14:$L$112</definedName>
    <definedName name="GPP_DO">'[1]GPP BOM'!$E$4</definedName>
    <definedName name="GPP_DOD">'[1]GPP BOM'!$F$4</definedName>
    <definedName name="GPP_DPD">'[1]GPP BOM'!$F$5</definedName>
    <definedName name="GPP_FX_RATE">'[1]GPP BOM'!$E$21</definedName>
    <definedName name="GPP_MARKET">[1]GPP!$C$4</definedName>
    <definedName name="GPP_MARKET_MTCE">'[1]GPP Lists'!$AK$2:$AK$43</definedName>
    <definedName name="GPP_MARKETS">'[1]GPP Lists'!$X$2:$X$8</definedName>
    <definedName name="GPP_MARKETS_SHORT">'[1]GPP Lists'!$Y$2:$Y$8</definedName>
    <definedName name="GPP_MT">[1]GPP!$C$7</definedName>
    <definedName name="GPP_MTCE_COL_BZE_RFE">'[1]GPP Lists'!$AR$2:$AR$43</definedName>
    <definedName name="GPP_MTCE_COL_BZE_RFE_FY">'[1]GPP Lists'!$AS$2:$AS$43</definedName>
    <definedName name="GPP_MTCE_COL_GLD_AE">'[1]GPP Lists'!$AP$2:$AP$43</definedName>
    <definedName name="GPP_MTCE_COL_GLD_AE_FY">'[1]GPP Lists'!$AQ$2:$AQ$43</definedName>
    <definedName name="GPP_MTCE_COL_GLD_RFE">'[1]GPP Lists'!$AL$2:$AL$43</definedName>
    <definedName name="GPP_MTCE_COL_GLD_RFE_FY">'[1]GPP Lists'!$AM$2:$AM$43</definedName>
    <definedName name="GPP_MTCE_COL_GLD_RFR">'[1]GPP Lists'!$AN$2:$AN$43</definedName>
    <definedName name="GPP_MTCE_COL_GLD_RFR_FY">'[1]GPP Lists'!$AO$2:$AO$43</definedName>
    <definedName name="GPP_MTCE_OPTION">'[1]GPP BOM'!$I$21</definedName>
    <definedName name="GPP_MTCE_OPTIONS">'[1]GPP Lists'!$N$2:$N$5</definedName>
    <definedName name="GPP_MTCE_OPTIONS_COLS">'[1]GPP Lists'!$O$2:$O$5</definedName>
    <definedName name="GPP_MTD">[1]GPP!$H$7</definedName>
    <definedName name="GPP_PD">'[1]GPP BOM'!$E$5</definedName>
    <definedName name="GPP_PJD">'[1]GPP BOM'!$F$7</definedName>
    <definedName name="GPP_PRODUCT_CATEGORIES">'[1]GPP Lists'!$AV$2:$AV$98</definedName>
    <definedName name="GPP_PRODUCT_DISCOUNT_MATRIX">'[1]GPP Lists'!$AW$2:$HW$98</definedName>
    <definedName name="GPP_PRODUCT_DISCOUNT_MATRIX_HEADERS">'[1]GPP Lists'!$AW$1:$HW$1</definedName>
    <definedName name="GPP_PROGRAM">[1]GPP!$C$3</definedName>
    <definedName name="GPP_PROGRAM_MARKET_DISCOUNT_MATRIX">'[1]GPP Lists'!$E$2:$K$7</definedName>
    <definedName name="GPP_PROGRAM_MARKET_DISCOUNT_MATRIX_HEADER">'[1]GPP Lists'!$E$1:$K$1</definedName>
    <definedName name="GPP_PROGRAMS">'[1]GPP Lists'!$D$2:$D$7</definedName>
    <definedName name="GPP_PROGRAMS_SHORT">'[1]GPP Lists'!$L$2:$L$7</definedName>
    <definedName name="GPP_PT">[1]GPP!$C$6</definedName>
    <definedName name="GPP_PTD">[1]GPP!$H$6</definedName>
    <definedName name="GPP_TIERS_DISCOUNTS">'[1]GPP Lists'!$AE$2:$AE$50</definedName>
    <definedName name="GPP_TIERS_MTCE_TYPES">'[1]GPP Lists'!$AG$2:$AG$50</definedName>
    <definedName name="GPP_TIERS_OPTIONS">'[1]GPP Lists'!$AD$2:$AD$50</definedName>
    <definedName name="GPP_TIERS_TYPE_PROGRAM">'[1]GPP Lists'!$AC$2:$AC$50</definedName>
    <definedName name="GPP_TIERS_TYPE_PROGRAM_MTCE">'[1]GPP Lists'!$AF$2:$AF$50</definedName>
    <definedName name="GPP_UNIT_PRICE">'[1]GPP BOM'!$H$23:$H$224</definedName>
    <definedName name="GPP_YEARS">'[1]GPP BOM'!$L$2:$Q$2</definedName>
    <definedName name="LINE_HEADER" localSheetId="5">#REF!</definedName>
    <definedName name="LINE_HEADER">#REF!</definedName>
    <definedName name="LINE_ITEM" localSheetId="5">#REF!</definedName>
    <definedName name="LINE_ITEM">#REF!</definedName>
    <definedName name="LINE_OLD_ITEM" localSheetId="5">#REF!</definedName>
    <definedName name="LINE_OLD_ITEM">#REF!</definedName>
    <definedName name="LINE_SUB_HEADER" localSheetId="5">#REF!</definedName>
    <definedName name="LINE_SUB_HEADER">#REF!</definedName>
    <definedName name="LIST_CHILDS">[1]Lists!$Y$2:$Y$14</definedName>
    <definedName name="LIST_CURRENCIES">[1]Currencies!$A$4:$A$183</definedName>
    <definedName name="LIST_FLAVORS">[1]Lists!$R$2:$R$70</definedName>
    <definedName name="LIST_FWD_COST" localSheetId="5">#REF!</definedName>
    <definedName name="LIST_FWD_COST">#REF!</definedName>
    <definedName name="LIST_INTERFACES">[1]Lists!$V$2:$V$15</definedName>
    <definedName name="LIST_METRICS">[1]Lists!$T$2:$T$8</definedName>
    <definedName name="LIST_MQT_PRODUCTS">[1]Lists!$DJ$2:$DJ$38</definedName>
    <definedName name="LIST_MQT_UNITS">[1]Lists!$DK$2:$DK$38</definedName>
    <definedName name="LIST_NAVIGATOR">[1]Navigator!$A$2:$A$124</definedName>
    <definedName name="LIST_PAIRINGFACTORS">[1]Lists!$AA$2:$AA$11</definedName>
    <definedName name="LIST_PARENTS">[1]Lists!$X$2:$X$10</definedName>
    <definedName name="LIST_PL">[1]Lists!$AM$2:$AM$135</definedName>
    <definedName name="LIST_PORTFOLIO">[1]Lists!$A$2:$A$14</definedName>
    <definedName name="LIST_PRODUCTS">[1]Lists!$D$2:$D$240</definedName>
    <definedName name="LIST_TYPES">[1]Lists!$AC$2:$AC$6</definedName>
    <definedName name="NAME">[1]Cover!$C$11</definedName>
    <definedName name="OLD_ITEMS" localSheetId="5">#REF!</definedName>
    <definedName name="OLD_ITEMS">#REF!</definedName>
    <definedName name="op" localSheetId="5">#REF!</definedName>
    <definedName name="op">#REF!</definedName>
    <definedName name="PCP" localSheetId="5">#REF!</definedName>
    <definedName name="PCP">#REF!</definedName>
    <definedName name="PCP_ANALYTICS_COLS" localSheetId="5">#REF!</definedName>
    <definedName name="PCP_ANALYTICS_COLS">#REF!</definedName>
    <definedName name="PCP_CAPA_COL" localSheetId="5">#REF!</definedName>
    <definedName name="PCP_CAPA_COL">#REF!</definedName>
    <definedName name="PCP_CAT_COL" localSheetId="5">#REF!</definedName>
    <definedName name="PCP_CAT_COL">#REF!</definedName>
    <definedName name="PCP_CHILD_COL" localSheetId="5">#REF!</definedName>
    <definedName name="PCP_CHILD_COL">#REF!</definedName>
    <definedName name="PCP_CODE_COL" localSheetId="5">#REF!</definedName>
    <definedName name="PCP_CODE_COL">#REF!</definedName>
    <definedName name="PCP_COL_CAPA" localSheetId="5">#REF!</definedName>
    <definedName name="PCP_COL_CAPA">#REF!</definedName>
    <definedName name="PCP_COL_CAT" localSheetId="5">#REF!</definedName>
    <definedName name="PCP_COL_CAT">#REF!</definedName>
    <definedName name="PCP_COL_CHILD" localSheetId="5">#REF!</definedName>
    <definedName name="PCP_COL_CHILD">#REF!</definedName>
    <definedName name="PCP_COL_COST" localSheetId="5">#REF!</definedName>
    <definedName name="PCP_COL_COST">#REF!</definedName>
    <definedName name="PCP_COL_FLAVOR" localSheetId="5">#REF!</definedName>
    <definedName name="PCP_COL_FLAVOR">#REF!</definedName>
    <definedName name="PCP_COL_FWDCOST" localSheetId="5">#REF!</definedName>
    <definedName name="PCP_COL_FWDCOST">#REF!</definedName>
    <definedName name="PCP_COL_INTERF" localSheetId="5">#REF!</definedName>
    <definedName name="PCP_COL_INTERF">#REF!</definedName>
    <definedName name="PCP_COL_IRP" localSheetId="5">#REF!</definedName>
    <definedName name="PCP_COL_IRP">#REF!</definedName>
    <definedName name="PCP_COL_LINECAPA" localSheetId="5">#REF!</definedName>
    <definedName name="PCP_COL_LINECAPA">#REF!</definedName>
    <definedName name="PCP_COL_METRIC" localSheetId="5">#REF!</definedName>
    <definedName name="PCP_COL_METRIC">#REF!</definedName>
    <definedName name="PCP_COL_MNEM" localSheetId="5">#REF!</definedName>
    <definedName name="PCP_COL_MNEM">#REF!</definedName>
    <definedName name="PCP_COL_MQT" localSheetId="5">#REF!</definedName>
    <definedName name="PCP_COL_MQT">#REF!</definedName>
    <definedName name="PCP_COL_NSMLP" localSheetId="5">#REF!</definedName>
    <definedName name="PCP_COL_NSMLP">#REF!</definedName>
    <definedName name="PCP_COL_PAIR" localSheetId="5">#REF!</definedName>
    <definedName name="PCP_COL_PAIR">#REF!</definedName>
    <definedName name="PCP_COL_PARENT" localSheetId="5">#REF!</definedName>
    <definedName name="PCP_COL_PARENT">#REF!</definedName>
    <definedName name="PCP_COL_PN" localSheetId="5">#REF!</definedName>
    <definedName name="PCP_COL_PN">#REF!</definedName>
    <definedName name="PCP_COL_PRODUCT" localSheetId="5">#REF!</definedName>
    <definedName name="PCP_COL_PRODUCT">#REF!</definedName>
    <definedName name="PCP_COL_STATUS" localSheetId="5">#REF!</definedName>
    <definedName name="PCP_COL_STATUS">#REF!</definedName>
    <definedName name="PCP_COL_TYPE" localSheetId="5">#REF!</definedName>
    <definedName name="PCP_COL_TYPE">#REF!</definedName>
    <definedName name="PCP_COL_VARIANT" localSheetId="5">#REF!</definedName>
    <definedName name="PCP_COL_VARIANT">#REF!</definedName>
    <definedName name="PCP_COMM_COL" localSheetId="5">#REF!</definedName>
    <definedName name="PCP_COMM_COL">#REF!</definedName>
    <definedName name="PCP_COST_COL" localSheetId="5">#REF!</definedName>
    <definedName name="PCP_COST_COL">#REF!</definedName>
    <definedName name="PCP_DESC_COL" localSheetId="5">#REF!</definedName>
    <definedName name="PCP_DESC_COL">#REF!</definedName>
    <definedName name="PCP_FLAVOR_COL" localSheetId="5">#REF!</definedName>
    <definedName name="PCP_FLAVOR_COL">#REF!</definedName>
    <definedName name="PCP_FORMAT_HEADERS" localSheetId="5">#REF!</definedName>
    <definedName name="PCP_FORMAT_HEADERS">#REF!</definedName>
    <definedName name="PCP_FWDCOST_COL" localSheetId="5">#REF!</definedName>
    <definedName name="PCP_FWDCOST_COL">#REF!</definedName>
    <definedName name="PCP_GPP_COL" localSheetId="5">#REF!</definedName>
    <definedName name="PCP_GPP_COL">#REF!</definedName>
    <definedName name="PCP_INTERF_COL" localSheetId="5">#REF!</definedName>
    <definedName name="PCP_INTERF_COL">#REF!</definedName>
    <definedName name="PCP_IPISPL_COL" localSheetId="5">#REF!</definedName>
    <definedName name="PCP_IPISPL_COL">#REF!</definedName>
    <definedName name="PCP_IRP_COL" localSheetId="5">#REF!</definedName>
    <definedName name="PCP_IRP_COL">#REF!</definedName>
    <definedName name="PCP_LINECAPA_COL" localSheetId="5">#REF!</definedName>
    <definedName name="PCP_LINECAPA_COL">#REF!</definedName>
    <definedName name="PCP_METRIC_COL" localSheetId="5">#REF!</definedName>
    <definedName name="PCP_METRIC_COL">#REF!</definedName>
    <definedName name="PCP_MKT_COL" localSheetId="5">#REF!</definedName>
    <definedName name="PCP_MKT_COL">#REF!</definedName>
    <definedName name="PCP_MNEM_COL" localSheetId="5">#REF!</definedName>
    <definedName name="PCP_MNEM_COL">#REF!</definedName>
    <definedName name="PCP_MQT_COLS" localSheetId="5">#REF!</definedName>
    <definedName name="PCP_MQT_COLS">#REF!</definedName>
    <definedName name="PCP_MQT_PROD_COL" localSheetId="5">#REF!</definedName>
    <definedName name="PCP_MQT_PROD_COL">#REF!</definedName>
    <definedName name="PCP_MQT_QTY_COL" localSheetId="5">#REF!</definedName>
    <definedName name="PCP_MQT_QTY_COL">#REF!</definedName>
    <definedName name="PCP_MQT_UNIT_COL" localSheetId="5">#REF!</definedName>
    <definedName name="PCP_MQT_UNIT_COL">#REF!</definedName>
    <definedName name="PCP_NSMLP_COL" localSheetId="5">#REF!</definedName>
    <definedName name="PCP_NSMLP_COL">#REF!</definedName>
    <definedName name="PCP_OVERSUPPLY_COL" localSheetId="5">#REF!</definedName>
    <definedName name="PCP_OVERSUPPLY_COL">#REF!</definedName>
    <definedName name="PCP_PAIR_COL" localSheetId="5">#REF!</definedName>
    <definedName name="PCP_PAIR_COL">#REF!</definedName>
    <definedName name="PCP_PARENT_COL" localSheetId="5">#REF!</definedName>
    <definedName name="PCP_PARENT_COL">#REF!</definedName>
    <definedName name="PCP_PDN_COLS" localSheetId="5">#REF!</definedName>
    <definedName name="PCP_PDN_COLS">#REF!</definedName>
    <definedName name="PCP_PORTFOLIO_COL" localSheetId="5">#REF!</definedName>
    <definedName name="PCP_PORTFOLIO_COL">#REF!</definedName>
    <definedName name="PCP_PRODUCT_COL" localSheetId="5">#REF!</definedName>
    <definedName name="PCP_PRODUCT_COL">#REF!</definedName>
    <definedName name="PCP_REL_COL" localSheetId="5">#REF!</definedName>
    <definedName name="PCP_REL_COL">#REF!</definedName>
    <definedName name="PCP_REUP_COL" localSheetId="5">#REF!</definedName>
    <definedName name="PCP_REUP_COL">#REF!</definedName>
    <definedName name="PCP_STATUS_COL" localSheetId="5">#REF!</definedName>
    <definedName name="PCP_STATUS_COL">#REF!</definedName>
    <definedName name="PCP_TYPE_COL" localSheetId="5">#REF!</definedName>
    <definedName name="PCP_TYPE_COL">#REF!</definedName>
    <definedName name="PCP_VARIANT_COL" localSheetId="5">#REF!</definedName>
    <definedName name="PCP_VARIANT_COL">#REF!</definedName>
    <definedName name="PPP" localSheetId="5">#REF!</definedName>
    <definedName name="PPP">#REF!</definedName>
    <definedName name="PPP_COST_COLUMNS" localSheetId="5">#REF!</definedName>
    <definedName name="PPP_COST_COLUMNS">#REF!</definedName>
    <definedName name="PPP_DESCRIPTION_COLUMN" localSheetId="5">#REF!</definedName>
    <definedName name="PPP_DESCRIPTION_COLUMN">#REF!</definedName>
    <definedName name="PPP_OEM" localSheetId="5">#REF!</definedName>
    <definedName name="PPP_OEM">#REF!</definedName>
    <definedName name="PPP_OLD" localSheetId="5">#REF!</definedName>
    <definedName name="PPP_OLD">#REF!</definedName>
    <definedName name="PPP_RELCOM_COLUMN" localSheetId="5">#REF!</definedName>
    <definedName name="PPP_RELCOM_COLUMN">#REF!</definedName>
    <definedName name="PPP_TITLE" localSheetId="5">#REF!</definedName>
    <definedName name="PPP_TITLE">#REF!</definedName>
    <definedName name="rate">[1]Search!$N$4</definedName>
    <definedName name="SEARCH_TOTAL_COST_COLUMNS">[1]Search!#REF!</definedName>
    <definedName name="SEARCH_UNIT_COST_COLUMNS">[1]Search!#REF!</definedName>
    <definedName name="SVC_EXTERNAL_HEADER" localSheetId="5">#REF!</definedName>
    <definedName name="SVC_EXTERNAL_HEADER">#REF!</definedName>
    <definedName name="SVC_MAPPING_HEADER" localSheetId="5">#REF!</definedName>
    <definedName name="SVC_MAPPING_HEADER">#REF!</definedName>
    <definedName name="TABLE_FXRATE_SIMPLE">[1]Currencies!$A$3:$C$184</definedName>
    <definedName name="VERSION">[1]Cover!$E$16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6" i="110" l="1"/>
  <c r="J191" i="110"/>
  <c r="D2" i="111"/>
  <c r="C2" i="111"/>
  <c r="D3" i="107"/>
  <c r="C3" i="107"/>
  <c r="J208" i="110"/>
  <c r="J231" i="110"/>
  <c r="F3" i="107" l="1"/>
  <c r="F2" i="111" l="1"/>
  <c r="F3" i="111" s="1"/>
  <c r="H8" i="75" l="1"/>
  <c r="D7" i="110" l="1"/>
  <c r="D8" i="110"/>
  <c r="D9" i="110"/>
  <c r="D10" i="110"/>
  <c r="D11" i="110"/>
  <c r="D12" i="110"/>
  <c r="D13" i="110"/>
  <c r="D14" i="110"/>
  <c r="D15" i="110"/>
  <c r="D16" i="110"/>
  <c r="D17" i="110"/>
  <c r="D18" i="110"/>
  <c r="D19" i="110"/>
  <c r="D20" i="110"/>
  <c r="D21" i="110"/>
  <c r="D22" i="110"/>
  <c r="D23" i="110"/>
  <c r="D24" i="110"/>
  <c r="D25" i="110"/>
  <c r="D26" i="110"/>
  <c r="D27" i="110"/>
  <c r="D28" i="110"/>
  <c r="D29" i="110"/>
  <c r="D30" i="110"/>
  <c r="D31" i="110"/>
  <c r="D32" i="110"/>
  <c r="D33" i="110"/>
  <c r="D34" i="110"/>
  <c r="D35" i="110"/>
  <c r="D36" i="110"/>
  <c r="D37" i="110"/>
  <c r="D38" i="110"/>
  <c r="D39" i="110"/>
  <c r="D40" i="110"/>
  <c r="D41" i="110"/>
  <c r="D42" i="110"/>
  <c r="D43" i="110"/>
  <c r="D44" i="110"/>
  <c r="D45" i="110"/>
  <c r="D46" i="110"/>
  <c r="D47" i="110"/>
  <c r="D48" i="110"/>
  <c r="D49" i="110"/>
  <c r="D50" i="110"/>
  <c r="D51" i="110"/>
  <c r="D52" i="110"/>
  <c r="D53" i="110"/>
  <c r="D54" i="110"/>
  <c r="D55" i="110"/>
  <c r="D56" i="110"/>
  <c r="D57" i="110"/>
  <c r="D58" i="110"/>
  <c r="D59" i="110"/>
  <c r="D60" i="110"/>
  <c r="D61" i="110"/>
  <c r="D62" i="110"/>
  <c r="D63" i="110"/>
  <c r="D64" i="110"/>
  <c r="D65" i="110"/>
  <c r="D66" i="110"/>
  <c r="D67" i="110"/>
  <c r="D68" i="110"/>
  <c r="D69" i="110"/>
  <c r="D70" i="110"/>
  <c r="D71" i="110"/>
  <c r="D72" i="110"/>
  <c r="D73" i="110"/>
  <c r="D74" i="110"/>
  <c r="D75" i="110"/>
  <c r="D76" i="110"/>
  <c r="D77" i="110"/>
  <c r="D78" i="110"/>
  <c r="D79" i="110"/>
  <c r="D80" i="110"/>
  <c r="D81" i="110"/>
  <c r="D82" i="110"/>
  <c r="D83" i="110"/>
  <c r="D84" i="110"/>
  <c r="D85" i="110"/>
  <c r="D86" i="110"/>
  <c r="D87" i="110"/>
  <c r="D88" i="110"/>
  <c r="D89" i="110"/>
  <c r="D90" i="110"/>
  <c r="D91" i="110"/>
  <c r="D92" i="110"/>
  <c r="D93" i="110"/>
  <c r="D94" i="110"/>
  <c r="D95" i="110"/>
  <c r="D96" i="110"/>
  <c r="D97" i="110"/>
  <c r="D98" i="110"/>
  <c r="D99" i="110"/>
  <c r="D100" i="110"/>
  <c r="D101" i="110"/>
  <c r="D102" i="110"/>
  <c r="D103" i="110"/>
  <c r="D104" i="110"/>
  <c r="D105" i="110"/>
  <c r="D106" i="110"/>
  <c r="D107" i="110"/>
  <c r="D108" i="110"/>
  <c r="D109" i="110"/>
  <c r="D110" i="110"/>
  <c r="D111" i="110"/>
  <c r="D112" i="110"/>
  <c r="D113" i="110"/>
  <c r="D114" i="110"/>
  <c r="D115" i="110"/>
  <c r="D116" i="110"/>
  <c r="D117" i="110"/>
  <c r="D118" i="110"/>
  <c r="D119" i="110"/>
  <c r="D120" i="110"/>
  <c r="D121" i="110"/>
  <c r="D122" i="110"/>
  <c r="D123" i="110"/>
  <c r="D124" i="110"/>
  <c r="D125" i="110"/>
  <c r="D126" i="110"/>
  <c r="D127" i="110"/>
  <c r="D128" i="110"/>
  <c r="D129" i="110"/>
  <c r="D130" i="110"/>
  <c r="D131" i="110"/>
  <c r="D132" i="110"/>
  <c r="D133" i="110"/>
  <c r="D134" i="110"/>
  <c r="D135" i="110"/>
  <c r="D136" i="110"/>
  <c r="D137" i="110"/>
  <c r="D138" i="110"/>
  <c r="D139" i="110"/>
  <c r="D140" i="110"/>
  <c r="D141" i="110"/>
  <c r="D142" i="110"/>
  <c r="D143" i="110"/>
  <c r="D144" i="110"/>
  <c r="D145" i="110"/>
  <c r="D146" i="110"/>
  <c r="D147" i="110"/>
  <c r="D148" i="110"/>
  <c r="D149" i="110"/>
  <c r="D150" i="110"/>
  <c r="D151" i="110"/>
  <c r="D152" i="110"/>
  <c r="D153" i="110"/>
  <c r="D154" i="110"/>
  <c r="D155" i="110"/>
  <c r="D156" i="110"/>
  <c r="D157" i="110"/>
  <c r="D158" i="110"/>
  <c r="D159" i="110"/>
  <c r="D160" i="110"/>
  <c r="D161" i="110"/>
  <c r="D162" i="110"/>
  <c r="D163" i="110"/>
  <c r="D164" i="110"/>
  <c r="D165" i="110"/>
  <c r="D166" i="110"/>
  <c r="D167" i="110"/>
  <c r="D168" i="110"/>
  <c r="D169" i="110"/>
  <c r="D170" i="110"/>
  <c r="D171" i="110"/>
  <c r="D172" i="110"/>
  <c r="D173" i="110"/>
  <c r="D174" i="110"/>
  <c r="D175" i="110"/>
  <c r="D176" i="110"/>
  <c r="D177" i="110"/>
  <c r="D178" i="110"/>
  <c r="D179" i="110"/>
  <c r="D180" i="110"/>
  <c r="D181" i="110"/>
  <c r="D182" i="110"/>
  <c r="D183" i="110"/>
  <c r="D184" i="110"/>
  <c r="D185" i="110"/>
  <c r="D186" i="110"/>
  <c r="D187" i="110"/>
  <c r="D188" i="110"/>
  <c r="D189" i="110"/>
  <c r="D190" i="110"/>
  <c r="D191" i="110"/>
  <c r="D192" i="110"/>
  <c r="D193" i="110"/>
  <c r="D194" i="110"/>
  <c r="D195" i="110"/>
  <c r="D196" i="110"/>
  <c r="D197" i="110"/>
  <c r="D198" i="110"/>
  <c r="D199" i="110"/>
  <c r="D200" i="110"/>
  <c r="D201" i="110"/>
  <c r="D202" i="110"/>
  <c r="D203" i="110"/>
  <c r="D204" i="110"/>
  <c r="D205" i="110"/>
  <c r="D206" i="110"/>
  <c r="D207" i="110"/>
  <c r="D208" i="110"/>
  <c r="D209" i="110"/>
  <c r="D210" i="110"/>
  <c r="D211" i="110"/>
  <c r="D212" i="110"/>
  <c r="D213" i="110"/>
  <c r="D214" i="110"/>
  <c r="D215" i="110"/>
  <c r="D216" i="110"/>
  <c r="D217" i="110"/>
  <c r="D218" i="110"/>
  <c r="D219" i="110"/>
  <c r="D220" i="110"/>
  <c r="D221" i="110"/>
  <c r="D222" i="110"/>
  <c r="D223" i="110"/>
  <c r="D224" i="110"/>
  <c r="D225" i="110"/>
  <c r="D226" i="110"/>
  <c r="D227" i="110"/>
  <c r="D228" i="110"/>
  <c r="D229" i="110"/>
  <c r="D230" i="110"/>
  <c r="D6" i="110"/>
  <c r="F2" i="108" l="1"/>
  <c r="F3" i="108" l="1"/>
  <c r="F2" i="107" l="1"/>
  <c r="F4" i="107" s="1"/>
  <c r="H6" i="75" l="1"/>
  <c r="H9" i="75" s="1"/>
  <c r="C345" i="58"/>
  <c r="I345" i="58" s="1"/>
  <c r="C344" i="58"/>
  <c r="I344" i="58" s="1"/>
  <c r="C343" i="58"/>
  <c r="I343" i="58" s="1"/>
  <c r="C342" i="58"/>
  <c r="I342" i="58" s="1"/>
  <c r="C341" i="58"/>
  <c r="I341" i="58" s="1"/>
  <c r="C340" i="58"/>
  <c r="I340" i="58" s="1"/>
  <c r="C339" i="58"/>
  <c r="I339" i="58" s="1"/>
  <c r="C338" i="58"/>
  <c r="I338" i="58" s="1"/>
  <c r="C337" i="58"/>
  <c r="I337" i="58" s="1"/>
  <c r="C336" i="58"/>
  <c r="I336" i="58" s="1"/>
  <c r="C335" i="58"/>
  <c r="I335" i="58" s="1"/>
  <c r="C334" i="58"/>
  <c r="I334" i="58" s="1"/>
  <c r="C333" i="58"/>
  <c r="I333" i="58" s="1"/>
  <c r="C332" i="58"/>
  <c r="I332" i="58" s="1"/>
  <c r="C331" i="58"/>
  <c r="I331" i="58" s="1"/>
  <c r="C330" i="58"/>
  <c r="I330" i="58" s="1"/>
  <c r="C329" i="58"/>
  <c r="I329" i="58" s="1"/>
  <c r="C328" i="58"/>
  <c r="I328" i="58" s="1"/>
  <c r="C327" i="58"/>
  <c r="I327" i="58" s="1"/>
  <c r="C326" i="58"/>
  <c r="I326" i="58" s="1"/>
  <c r="C325" i="58"/>
  <c r="I325" i="58" s="1"/>
  <c r="C324" i="58"/>
  <c r="I324" i="58" s="1"/>
  <c r="C323" i="58"/>
  <c r="I323" i="58" s="1"/>
  <c r="C322" i="58"/>
  <c r="I322" i="58" s="1"/>
  <c r="C321" i="58"/>
  <c r="I321" i="58" s="1"/>
  <c r="C320" i="58"/>
  <c r="I320" i="58" s="1"/>
  <c r="C319" i="58"/>
  <c r="I319" i="58" s="1"/>
  <c r="C318" i="58"/>
  <c r="I318" i="58" s="1"/>
  <c r="C317" i="58"/>
  <c r="I317" i="58" s="1"/>
  <c r="C316" i="58"/>
  <c r="I316" i="58" s="1"/>
  <c r="C315" i="58"/>
  <c r="I315" i="58" s="1"/>
  <c r="C314" i="58"/>
  <c r="I314" i="58" s="1"/>
  <c r="C313" i="58"/>
  <c r="I313" i="58" s="1"/>
  <c r="C312" i="58"/>
  <c r="I312" i="58" s="1"/>
  <c r="C311" i="58"/>
  <c r="I311" i="58" s="1"/>
  <c r="C310" i="58"/>
  <c r="I310" i="58" s="1"/>
  <c r="C309" i="58"/>
  <c r="I309" i="58" s="1"/>
  <c r="C308" i="58"/>
  <c r="I308" i="58" s="1"/>
  <c r="C307" i="58"/>
  <c r="I307" i="58" s="1"/>
  <c r="C306" i="58"/>
  <c r="I306" i="58" s="1"/>
  <c r="C305" i="58"/>
  <c r="I305" i="58" s="1"/>
  <c r="C304" i="58"/>
  <c r="I304" i="58" s="1"/>
  <c r="C303" i="58"/>
  <c r="I303" i="58" s="1"/>
  <c r="C302" i="58"/>
  <c r="I302" i="58" s="1"/>
  <c r="C301" i="58"/>
  <c r="I301" i="58" s="1"/>
  <c r="C300" i="58"/>
  <c r="I300" i="58" s="1"/>
  <c r="C299" i="58"/>
  <c r="I299" i="58" s="1"/>
  <c r="C298" i="58"/>
  <c r="I298" i="58" s="1"/>
  <c r="C297" i="58"/>
  <c r="I297" i="58" s="1"/>
  <c r="C296" i="58"/>
  <c r="I296" i="58" s="1"/>
  <c r="C295" i="58"/>
  <c r="I295" i="58" s="1"/>
  <c r="C294" i="58"/>
  <c r="I294" i="58" s="1"/>
  <c r="C293" i="58"/>
  <c r="I293" i="58" s="1"/>
  <c r="C292" i="58"/>
  <c r="I292" i="58" s="1"/>
  <c r="C291" i="58"/>
  <c r="I291" i="58" s="1"/>
  <c r="C290" i="58"/>
  <c r="I290" i="58" s="1"/>
  <c r="C289" i="58"/>
  <c r="I289" i="58" s="1"/>
  <c r="C288" i="58"/>
  <c r="I288" i="58" s="1"/>
  <c r="C287" i="58"/>
  <c r="I287" i="58" s="1"/>
  <c r="C286" i="58"/>
  <c r="I286" i="58" s="1"/>
  <c r="C285" i="58"/>
  <c r="I285" i="58" s="1"/>
  <c r="C284" i="58"/>
  <c r="I284" i="58" s="1"/>
  <c r="C283" i="58"/>
  <c r="I283" i="58" s="1"/>
  <c r="C282" i="58"/>
  <c r="I282" i="58" s="1"/>
  <c r="C281" i="58"/>
  <c r="I281" i="58" s="1"/>
  <c r="C280" i="58"/>
  <c r="I280" i="58" s="1"/>
  <c r="C279" i="58"/>
  <c r="I279" i="58" s="1"/>
  <c r="C278" i="58"/>
  <c r="I278" i="58" s="1"/>
  <c r="C277" i="58"/>
  <c r="I277" i="58" s="1"/>
  <c r="C276" i="58"/>
  <c r="I276" i="58" s="1"/>
  <c r="C275" i="58"/>
  <c r="I275" i="58" s="1"/>
  <c r="C274" i="58"/>
  <c r="I274" i="58" s="1"/>
  <c r="C273" i="58"/>
  <c r="I273" i="58" s="1"/>
  <c r="C272" i="58"/>
  <c r="I272" i="58" s="1"/>
  <c r="C271" i="58"/>
  <c r="I271" i="58" s="1"/>
  <c r="C270" i="58"/>
  <c r="I270" i="58" s="1"/>
  <c r="C269" i="58"/>
  <c r="I269" i="58" s="1"/>
  <c r="C268" i="58"/>
  <c r="I268" i="58" s="1"/>
  <c r="C267" i="58"/>
  <c r="I267" i="58" s="1"/>
  <c r="C266" i="58"/>
  <c r="I266" i="58" s="1"/>
  <c r="C265" i="58"/>
  <c r="I265" i="58" s="1"/>
  <c r="C264" i="58"/>
  <c r="I264" i="58" s="1"/>
  <c r="C263" i="58"/>
  <c r="I263" i="58" s="1"/>
  <c r="C262" i="58"/>
  <c r="I262" i="58" s="1"/>
  <c r="C261" i="58"/>
  <c r="I261" i="58" s="1"/>
  <c r="C260" i="58"/>
  <c r="I260" i="58" s="1"/>
  <c r="C259" i="58"/>
  <c r="I259" i="58" s="1"/>
  <c r="C258" i="58"/>
  <c r="I258" i="58" s="1"/>
  <c r="C257" i="58"/>
  <c r="I257" i="58" s="1"/>
  <c r="C256" i="58"/>
  <c r="I256" i="58" s="1"/>
  <c r="C255" i="58"/>
  <c r="I255" i="58" s="1"/>
  <c r="C254" i="58"/>
  <c r="I254" i="58" s="1"/>
  <c r="C253" i="58"/>
  <c r="I253" i="58" s="1"/>
  <c r="C252" i="58"/>
  <c r="I252" i="58" s="1"/>
  <c r="C251" i="58"/>
  <c r="I251" i="58" s="1"/>
  <c r="C250" i="58"/>
  <c r="I250" i="58" s="1"/>
  <c r="C249" i="58"/>
  <c r="I249" i="58" s="1"/>
  <c r="C248" i="58"/>
  <c r="I248" i="58" s="1"/>
  <c r="C247" i="58"/>
  <c r="I247" i="58" s="1"/>
  <c r="C246" i="58"/>
  <c r="I246" i="58" s="1"/>
  <c r="C245" i="58"/>
  <c r="I245" i="58" s="1"/>
  <c r="C244" i="58"/>
  <c r="I244" i="58" s="1"/>
  <c r="C243" i="58"/>
  <c r="I243" i="58" s="1"/>
  <c r="C242" i="58"/>
  <c r="I242" i="58" s="1"/>
  <c r="C241" i="58"/>
  <c r="I241" i="58" s="1"/>
  <c r="C240" i="58"/>
  <c r="I240" i="58" s="1"/>
  <c r="C239" i="58"/>
  <c r="I239" i="58" s="1"/>
  <c r="C238" i="58"/>
  <c r="I238" i="58" s="1"/>
  <c r="C237" i="58"/>
  <c r="I237" i="58" s="1"/>
  <c r="C236" i="58"/>
  <c r="I236" i="58" s="1"/>
  <c r="C229" i="58"/>
  <c r="I231" i="58" s="1"/>
  <c r="C228" i="58"/>
  <c r="I228" i="58" s="1"/>
  <c r="C227" i="58"/>
  <c r="I227" i="58" s="1"/>
  <c r="C226" i="58"/>
  <c r="I226" i="58" s="1"/>
  <c r="C225" i="58"/>
  <c r="I225" i="58" s="1"/>
  <c r="C224" i="58"/>
  <c r="I224" i="58" s="1"/>
  <c r="C223" i="58"/>
  <c r="I223" i="58" s="1"/>
  <c r="C222" i="58"/>
  <c r="I222" i="58" s="1"/>
  <c r="C221" i="58"/>
  <c r="I221" i="58" s="1"/>
  <c r="C220" i="58"/>
  <c r="I220" i="58" s="1"/>
  <c r="C219" i="58"/>
  <c r="I219" i="58" s="1"/>
  <c r="C218" i="58"/>
  <c r="I218" i="58" s="1"/>
  <c r="C217" i="58"/>
  <c r="I217" i="58" s="1"/>
  <c r="C216" i="58"/>
  <c r="I216" i="58" s="1"/>
  <c r="C215" i="58"/>
  <c r="I215" i="58" s="1"/>
  <c r="C214" i="58"/>
  <c r="I214" i="58" s="1"/>
  <c r="C211" i="58"/>
  <c r="I213" i="58" s="1"/>
  <c r="C209" i="58"/>
  <c r="I209" i="58" s="1"/>
  <c r="C208" i="58"/>
  <c r="I208" i="58" s="1"/>
  <c r="C207" i="58"/>
  <c r="I207" i="58" s="1"/>
  <c r="C206" i="58"/>
  <c r="I206" i="58" s="1"/>
  <c r="C205" i="58"/>
  <c r="I205" i="58" s="1"/>
  <c r="C204" i="58"/>
  <c r="I204" i="58" s="1"/>
  <c r="C203" i="58"/>
  <c r="I203" i="58" s="1"/>
  <c r="C202" i="58"/>
  <c r="I202" i="58" s="1"/>
  <c r="C201" i="58"/>
  <c r="I201" i="58" s="1"/>
  <c r="C200" i="58"/>
  <c r="I200" i="58" s="1"/>
  <c r="C199" i="58"/>
  <c r="I199" i="58" s="1"/>
  <c r="C198" i="58"/>
  <c r="I198" i="58" s="1"/>
  <c r="C197" i="58"/>
  <c r="I197" i="58" s="1"/>
  <c r="C196" i="58"/>
  <c r="I196" i="58" s="1"/>
  <c r="C195" i="58"/>
  <c r="I195" i="58" s="1"/>
  <c r="C194" i="58"/>
  <c r="I194" i="58" s="1"/>
  <c r="C193" i="58"/>
  <c r="I193" i="58" s="1"/>
  <c r="C192" i="58"/>
  <c r="I192" i="58" s="1"/>
  <c r="C191" i="58"/>
  <c r="I191" i="58" s="1"/>
  <c r="C190" i="58"/>
  <c r="I190" i="58" s="1"/>
  <c r="C189" i="58"/>
  <c r="I189" i="58" s="1"/>
  <c r="C188" i="58"/>
  <c r="I188" i="58" s="1"/>
  <c r="C187" i="58"/>
  <c r="I187" i="58" s="1"/>
  <c r="C186" i="58"/>
  <c r="I186" i="58" s="1"/>
  <c r="C185" i="58"/>
  <c r="I185" i="58" s="1"/>
  <c r="C180" i="58"/>
  <c r="C173" i="58"/>
  <c r="I179" i="58" s="1"/>
  <c r="C166" i="58"/>
  <c r="I172" i="58" s="1"/>
  <c r="C165" i="58"/>
  <c r="I165" i="58" s="1"/>
  <c r="C164" i="58"/>
  <c r="I164" i="58" s="1"/>
  <c r="C158" i="58"/>
  <c r="I159" i="58" s="1"/>
  <c r="C151" i="58"/>
  <c r="I152" i="58" s="1"/>
  <c r="C144" i="58"/>
  <c r="I146" i="58" s="1"/>
  <c r="G142" i="58"/>
  <c r="G149" i="58" s="1"/>
  <c r="G156" i="58" s="1"/>
  <c r="C135" i="58"/>
  <c r="I139" i="58" s="1"/>
  <c r="C134" i="58"/>
  <c r="I134" i="58" s="1"/>
  <c r="C133" i="58"/>
  <c r="I133" i="58" s="1"/>
  <c r="C132" i="58"/>
  <c r="I132" i="58" s="1"/>
  <c r="C131" i="58"/>
  <c r="I131" i="58" s="1"/>
  <c r="C130" i="58"/>
  <c r="I130" i="58" s="1"/>
  <c r="C129" i="58"/>
  <c r="I129" i="58" s="1"/>
  <c r="C128" i="58"/>
  <c r="C127" i="58"/>
  <c r="C126" i="58"/>
  <c r="I126" i="58" s="1"/>
  <c r="C125" i="58"/>
  <c r="I125" i="58" s="1"/>
  <c r="C123" i="58"/>
  <c r="I123" i="58" s="1"/>
  <c r="C121" i="58"/>
  <c r="I121" i="58" s="1"/>
  <c r="C117" i="58"/>
  <c r="I119" i="58" s="1"/>
  <c r="C114" i="58"/>
  <c r="I114" i="58" s="1"/>
  <c r="C111" i="58"/>
  <c r="I113" i="58" s="1"/>
  <c r="C100" i="58"/>
  <c r="I109" i="58" s="1"/>
  <c r="C90" i="58"/>
  <c r="I99" i="58" s="1"/>
  <c r="C77" i="58"/>
  <c r="I86" i="58" s="1"/>
  <c r="C76" i="58"/>
  <c r="I76" i="58" s="1"/>
  <c r="C75" i="58"/>
  <c r="I75" i="58" s="1"/>
  <c r="C74" i="58"/>
  <c r="I74" i="58" s="1"/>
  <c r="C73" i="58"/>
  <c r="I73" i="58" s="1"/>
  <c r="C72" i="58"/>
  <c r="I72" i="58" s="1"/>
  <c r="C71" i="58"/>
  <c r="I71" i="58" s="1"/>
  <c r="C70" i="58"/>
  <c r="I70" i="58" s="1"/>
  <c r="C69" i="58"/>
  <c r="I69" i="58" s="1"/>
  <c r="C68" i="58"/>
  <c r="I68" i="58" s="1"/>
  <c r="C63" i="58"/>
  <c r="I64" i="58" s="1"/>
  <c r="C59" i="58"/>
  <c r="I59" i="58" s="1"/>
  <c r="C56" i="58"/>
  <c r="I58" i="58" s="1"/>
  <c r="C52" i="58"/>
  <c r="I55" i="58" s="1"/>
  <c r="C51" i="58"/>
  <c r="I51" i="58" s="1"/>
  <c r="C50" i="58"/>
  <c r="I50" i="58" s="1"/>
  <c r="C49" i="58"/>
  <c r="I49" i="58" s="1"/>
  <c r="C48" i="58"/>
  <c r="I48" i="58" s="1"/>
  <c r="C47" i="58"/>
  <c r="I47" i="58" s="1"/>
  <c r="C46" i="58"/>
  <c r="I46" i="58" s="1"/>
  <c r="C45" i="58"/>
  <c r="I45" i="58" s="1"/>
  <c r="C44" i="58"/>
  <c r="I44" i="58" s="1"/>
  <c r="C43" i="58"/>
  <c r="I43" i="58" s="1"/>
  <c r="C42" i="58"/>
  <c r="I42" i="58" s="1"/>
  <c r="C41" i="58"/>
  <c r="I41" i="58" s="1"/>
  <c r="C40" i="58"/>
  <c r="I40" i="58" s="1"/>
  <c r="C39" i="58"/>
  <c r="I39" i="58" s="1"/>
  <c r="C38" i="58"/>
  <c r="I38" i="58" s="1"/>
  <c r="C37" i="58"/>
  <c r="I37" i="58" s="1"/>
  <c r="C36" i="58"/>
  <c r="I36" i="58" s="1"/>
  <c r="C35" i="58"/>
  <c r="I35" i="58" s="1"/>
  <c r="I34" i="58"/>
  <c r="I33" i="58"/>
  <c r="I32" i="58"/>
  <c r="I31" i="58"/>
  <c r="I29" i="58"/>
  <c r="I30" i="58"/>
  <c r="I28" i="58"/>
  <c r="I27" i="58"/>
  <c r="I26" i="58"/>
  <c r="I25" i="58"/>
  <c r="I24" i="58"/>
  <c r="I23" i="58"/>
  <c r="I22" i="58"/>
  <c r="I21" i="58"/>
  <c r="I20" i="58"/>
  <c r="I19" i="58"/>
  <c r="G18" i="58"/>
  <c r="I18" i="58" s="1"/>
  <c r="G17" i="58"/>
  <c r="I17" i="58" s="1"/>
  <c r="G16" i="58"/>
  <c r="I16" i="58" s="1"/>
  <c r="G15" i="58"/>
  <c r="I15" i="58" s="1"/>
  <c r="I14" i="58"/>
  <c r="I10" i="58"/>
  <c r="I7" i="58"/>
  <c r="I6" i="58"/>
  <c r="I4" i="58"/>
  <c r="I3" i="58"/>
  <c r="I2" i="58"/>
  <c r="I5" i="58"/>
  <c r="I210" i="58" l="1"/>
  <c r="I110" i="58"/>
  <c r="I66" i="58"/>
  <c r="I67" i="58"/>
  <c r="I85" i="58"/>
  <c r="I87" i="58"/>
  <c r="I63" i="58"/>
  <c r="I65" i="58"/>
  <c r="I98" i="58"/>
  <c r="I153" i="58"/>
  <c r="I92" i="58"/>
  <c r="I96" i="58"/>
  <c r="I155" i="58"/>
  <c r="I83" i="58"/>
  <c r="I156" i="58"/>
  <c r="I52" i="58"/>
  <c r="I122" i="58"/>
  <c r="I141" i="58"/>
  <c r="I233" i="58"/>
  <c r="I53" i="58"/>
  <c r="I54" i="58"/>
  <c r="I93" i="58"/>
  <c r="I112" i="58"/>
  <c r="I94" i="58"/>
  <c r="I95" i="58"/>
  <c r="I154" i="58"/>
  <c r="I170" i="58"/>
  <c r="I77" i="58"/>
  <c r="I89" i="58"/>
  <c r="I148" i="58"/>
  <c r="I79" i="58"/>
  <c r="I118" i="58"/>
  <c r="I57" i="58"/>
  <c r="I80" i="58"/>
  <c r="I90" i="58"/>
  <c r="I101" i="58"/>
  <c r="I120" i="58"/>
  <c r="I151" i="58"/>
  <c r="I88" i="58"/>
  <c r="I115" i="58"/>
  <c r="I81" i="58"/>
  <c r="I145" i="58"/>
  <c r="I212" i="58"/>
  <c r="I124" i="58"/>
  <c r="I147" i="58"/>
  <c r="I232" i="58"/>
  <c r="I102" i="58"/>
  <c r="I116" i="58"/>
  <c r="I158" i="58"/>
  <c r="I163" i="58"/>
  <c r="I162" i="58"/>
  <c r="I161" i="58"/>
  <c r="I8" i="58"/>
  <c r="I12" i="58"/>
  <c r="I11" i="58"/>
  <c r="I107" i="58"/>
  <c r="I160" i="58"/>
  <c r="I178" i="58"/>
  <c r="I176" i="58"/>
  <c r="I175" i="58"/>
  <c r="I174" i="58"/>
  <c r="I173" i="58"/>
  <c r="I9" i="58"/>
  <c r="I140" i="58"/>
  <c r="I138" i="58"/>
  <c r="I137" i="58"/>
  <c r="I143" i="58"/>
  <c r="I136" i="58"/>
  <c r="I142" i="58"/>
  <c r="I135" i="58"/>
  <c r="I177" i="58"/>
  <c r="I13" i="58"/>
  <c r="I183" i="58"/>
  <c r="I182" i="58"/>
  <c r="I181" i="58"/>
  <c r="I180" i="58"/>
  <c r="I62" i="58"/>
  <c r="I61" i="58"/>
  <c r="I60" i="58"/>
  <c r="I128" i="58"/>
  <c r="I127" i="58"/>
  <c r="I184" i="58"/>
  <c r="I108" i="58"/>
  <c r="I100" i="58"/>
  <c r="I106" i="58"/>
  <c r="I105" i="58"/>
  <c r="I104" i="58"/>
  <c r="I103" i="58"/>
  <c r="I171" i="58"/>
  <c r="I169" i="58"/>
  <c r="I168" i="58"/>
  <c r="I167" i="58"/>
  <c r="I166" i="58"/>
  <c r="I234" i="58"/>
  <c r="I82" i="58"/>
  <c r="I97" i="58"/>
  <c r="I111" i="58"/>
  <c r="I117" i="58"/>
  <c r="I149" i="58"/>
  <c r="I211" i="58"/>
  <c r="I235" i="58"/>
  <c r="I150" i="58"/>
  <c r="I56" i="58"/>
  <c r="I84" i="58"/>
  <c r="I91" i="58"/>
  <c r="I144" i="58"/>
  <c r="I157" i="58"/>
  <c r="I229" i="58"/>
  <c r="I230" i="58"/>
  <c r="I78" i="58"/>
</calcChain>
</file>

<file path=xl/sharedStrings.xml><?xml version="1.0" encoding="utf-8"?>
<sst xmlns="http://schemas.openxmlformats.org/spreadsheetml/2006/main" count="2801" uniqueCount="934">
  <si>
    <t>Site ID</t>
  </si>
  <si>
    <t>10G</t>
  </si>
  <si>
    <t>1G</t>
  </si>
  <si>
    <t>STM1</t>
  </si>
  <si>
    <t>AAN-2005-PREAGG-SR7-1</t>
  </si>
  <si>
    <t>AAN-2006-PREAGG-SR7-1</t>
  </si>
  <si>
    <t>AAN-2009-PREAGG-SR7-1</t>
  </si>
  <si>
    <t>AAN-2021-PREAGG-SR7-1</t>
  </si>
  <si>
    <t>AAN-2042-PREAGG-SR7-1</t>
  </si>
  <si>
    <t>AAN-2043-PREAGG-SR7-1</t>
  </si>
  <si>
    <t>AAN-2058-PREAGG-SR7-1</t>
  </si>
  <si>
    <t>AAN-2059-PREAGG-SR7-1</t>
  </si>
  <si>
    <t>AAN-2065-PREAGG-SR7-1</t>
  </si>
  <si>
    <t>AAN-2078-PREAGG-SR7-1</t>
  </si>
  <si>
    <t>AAN-2088-PREAGG-SR7-1</t>
  </si>
  <si>
    <t>AAN-2258-PREAGG-SR7-1</t>
  </si>
  <si>
    <t>AAN-2265-PREAGG-SR7-1</t>
  </si>
  <si>
    <t>AAN-2302-PREAGG-SR7-1</t>
  </si>
  <si>
    <t>AAN-2399-PREAGG-SR7-1</t>
  </si>
  <si>
    <t>AAN-2460-PREAGG-SR7-1</t>
  </si>
  <si>
    <t>AAN-2495-PREAGG-SR7-1</t>
  </si>
  <si>
    <t>AJM-2457-PREAGG-SR7-1</t>
  </si>
  <si>
    <t>AUH-0619-PREAGG-SR7-1</t>
  </si>
  <si>
    <t>AUH-0639-PREAGG-SR7-1</t>
  </si>
  <si>
    <t>AUH-1048-PREAGG-SR7-1</t>
  </si>
  <si>
    <t>AUH-1090-PREAGG-SR7-1</t>
  </si>
  <si>
    <t>AUH-1093-PREAGG-SR7-1</t>
  </si>
  <si>
    <t>AUH-1097-PREAGG-SR7-1</t>
  </si>
  <si>
    <t>AUH-1222-PREAGG-SR7-1</t>
  </si>
  <si>
    <t>AUH-1316-PREAGG-SR7-1</t>
  </si>
  <si>
    <t>AUH-1336-PREAGG-SR7-1</t>
  </si>
  <si>
    <t>AUH-1359-PREAGG-SR7-1</t>
  </si>
  <si>
    <t>AUH-1372-PREAGG-SR7-1</t>
  </si>
  <si>
    <t>AUH-1405-PREAGG-SR7-1</t>
  </si>
  <si>
    <t>AUH-1417-PREAGG-SR7-1</t>
  </si>
  <si>
    <t>AUH-1426-PREAGG-SR7-1</t>
  </si>
  <si>
    <t>AUH-1437-PREAGG-SR7-1</t>
  </si>
  <si>
    <t>AUH-2039-PREAGG-SR7-1</t>
  </si>
  <si>
    <t>AUH-2050-PREAGG-SR7-1</t>
  </si>
  <si>
    <t>AUH-2054-PREAGG-SR7-1</t>
  </si>
  <si>
    <t>AUH-2055-PREAGG-SR7-1</t>
  </si>
  <si>
    <t>AUH-2076-PREAGG-SR7-1</t>
  </si>
  <si>
    <t>AUH-2080-PREAGG-SR7-1</t>
  </si>
  <si>
    <t>AUH-2088-PREAGG-SR7-1</t>
  </si>
  <si>
    <t>AUH-2099-PREAGG-SR7-1</t>
  </si>
  <si>
    <t>AUH-2118-PREAGG-SR7-1</t>
  </si>
  <si>
    <t>AUH-2122-PREAGG-SR7-1</t>
  </si>
  <si>
    <t>AUH-2123-PREAGG-SR7-1</t>
  </si>
  <si>
    <t>AUH-2129-PREAGG-SR7-1</t>
  </si>
  <si>
    <t>AUH-2132-PREAGG-SR7-1</t>
  </si>
  <si>
    <t>AUH-2134-PREAGG-SR7-1</t>
  </si>
  <si>
    <t>AUH-2136-PREAGG-SR7-1</t>
  </si>
  <si>
    <t>AUH-2138-PREAGG-SR7-1</t>
  </si>
  <si>
    <t>AUH-2142-PREAGG-SR7-1</t>
  </si>
  <si>
    <t>AUH-2149-PREAGG-SR7-1</t>
  </si>
  <si>
    <t>AUH-2165-PREAGG-SR7-1</t>
  </si>
  <si>
    <t>AUH-2170-PREAGG-SR7-1</t>
  </si>
  <si>
    <t>AUH-2178-PREAGG-SR7-1</t>
  </si>
  <si>
    <t>AUH-2184-PREAGG-SRa8-1</t>
  </si>
  <si>
    <t>AUH-2205-PREAGG-SR7-1</t>
  </si>
  <si>
    <t>AUH-2223-PREAGG-SR7-1</t>
  </si>
  <si>
    <t>AUH-2360-PREAGG-SR7-1</t>
  </si>
  <si>
    <t>AUH-2366-PREAGG-SR7-1</t>
  </si>
  <si>
    <t>AUH-2392-PREAGG-SR7-1</t>
  </si>
  <si>
    <t>AUH-2402-PREAGG-SR7-1</t>
  </si>
  <si>
    <t>AUH-2410-PREAGG-SR7-1</t>
  </si>
  <si>
    <t>AUH-2427-PREAGG-SR7-1</t>
  </si>
  <si>
    <t>AUH-2433-PREAGG-SR7-1</t>
  </si>
  <si>
    <t>AUH-2562-PREAGG-SR7-1</t>
  </si>
  <si>
    <t>AUH-2674-PREAGG-SR7-1</t>
  </si>
  <si>
    <t>AUH-2713-PREAGG-SRa8-1</t>
  </si>
  <si>
    <t>AUH-2784-PREAGG-SR7-1</t>
  </si>
  <si>
    <t>AUH-2836-PREAGG-SR7-1</t>
  </si>
  <si>
    <t>AUH-2904-PREAGG-SR7-1</t>
  </si>
  <si>
    <t>AUH-2908-PREAGG-SR7-1</t>
  </si>
  <si>
    <t>AUH-2911-PREAGG-SR7-1</t>
  </si>
  <si>
    <t>AUH-2916-PREAGG-SR7-1</t>
  </si>
  <si>
    <t>AUH-2918-PREAGG-SR7-1</t>
  </si>
  <si>
    <t>AUH-2923-PREAGG-SRa8-1</t>
  </si>
  <si>
    <t>AUH-2925-PREAGG-SRa8-1</t>
  </si>
  <si>
    <t>AUH-2929-PREAGG-SRa8-1</t>
  </si>
  <si>
    <t>AUH-2934-PREAGG-SR7-1</t>
  </si>
  <si>
    <t>AUH-2937-PREAGG-SR7-1</t>
  </si>
  <si>
    <t>AUH2962-MSS8-1-5-6-PREAGG-2-1-6</t>
  </si>
  <si>
    <t>AUH-2962-PREAGG-SR7-1</t>
  </si>
  <si>
    <t>AUH-5003-PREAGG-SR7-1</t>
  </si>
  <si>
    <t>AUH-5004-PREAGG-SR7-1</t>
  </si>
  <si>
    <t>AUH-6005-PREAGG-SRa8-1</t>
  </si>
  <si>
    <t>AUH-ADAC-PREAGG-SR7-1</t>
  </si>
  <si>
    <t>AUH-MariaIsland-PREAGG-SR7-1</t>
  </si>
  <si>
    <t>AUH-MASDARCITY-PREAGG-SR7-1</t>
  </si>
  <si>
    <t>DXB-0296A-PREAGG-SR7-1</t>
  </si>
  <si>
    <t>DXB-0298-PREAGG-SR7-1</t>
  </si>
  <si>
    <t>DXB-1001-PREAGG-SR7-1</t>
  </si>
  <si>
    <t>DXB-1025-PREAGG-SR7-1</t>
  </si>
  <si>
    <t>DXB-1069-PREAGG-SR7-1</t>
  </si>
  <si>
    <t>DXB-1074-PREAGG-SR7-1</t>
  </si>
  <si>
    <t>DXB-1090-PREAGG-SR7-1</t>
  </si>
  <si>
    <t>DXB-1096-PREAGG-SR7-1</t>
  </si>
  <si>
    <t>DXB-1103-PREAGG-SR7-1</t>
  </si>
  <si>
    <t>DXB-1156-PREAGG-SR7-1</t>
  </si>
  <si>
    <t>DXB-1347-PREAGG-SR7-1</t>
  </si>
  <si>
    <t>DXB-1635-PREAGG-SR7-1</t>
  </si>
  <si>
    <t>DXB-1683-PREAGG-SR7-1</t>
  </si>
  <si>
    <t>DXB-1693-PREAGG-SR7-1</t>
  </si>
  <si>
    <t>DXB-1828-PREAGG-SR7-1</t>
  </si>
  <si>
    <t>DXB-1852-PREAGG-SR7-1</t>
  </si>
  <si>
    <t>DXB-1946-PREAGG-SR7-1</t>
  </si>
  <si>
    <t>DXB-2123-PREAGG-SR7-1</t>
  </si>
  <si>
    <t>DXB-2282-PREAGG-SR7-1</t>
  </si>
  <si>
    <t>DXB-2302-PREAGG-SR7-1</t>
  </si>
  <si>
    <t>DXB-2313-PREAGG-SR7-1</t>
  </si>
  <si>
    <t>DXB-2583-PREAGG-SR7-1</t>
  </si>
  <si>
    <t>DXB-2770-PREAGG-SR7-1</t>
  </si>
  <si>
    <t>DXB-3121-PREAGG-SR7-1</t>
  </si>
  <si>
    <t>DXB-3122-PREAGG-SR7-1</t>
  </si>
  <si>
    <t>DXB-3131-PREAGG-SR7-1</t>
  </si>
  <si>
    <t>DXB-3145-PREAGG-SR7-1</t>
  </si>
  <si>
    <t>DXB-3155-PREAGG-SR7-1</t>
  </si>
  <si>
    <t>DXB-3160-PREAGG-SR7-1</t>
  </si>
  <si>
    <t>DXB-3161-PREAGG-SR7-1</t>
  </si>
  <si>
    <t>DXB-3164-PREAGG-SR7-1</t>
  </si>
  <si>
    <t>DXB-3183-PREAGG-SR7-1</t>
  </si>
  <si>
    <t>DXB-3215-PREAGG-SR7-1</t>
  </si>
  <si>
    <t>DXB-3248-PREAGG-SR7-1</t>
  </si>
  <si>
    <t>DXB-3249-PREAGG-SR7-1</t>
  </si>
  <si>
    <t>DXB-3252-PREAGG-SR7-1</t>
  </si>
  <si>
    <t>DXB-6020-PREAGG-SR7-1</t>
  </si>
  <si>
    <t>DXB-BB-PREAGG-SR7-1</t>
  </si>
  <si>
    <t>DXB-BB-PREAGG-SR7-2</t>
  </si>
  <si>
    <t>DXB-DFC-PREAGG-SR7-1</t>
  </si>
  <si>
    <t>DXB-DIFC-TER-1-PREAGG-SR7-1</t>
  </si>
  <si>
    <t>DXB-DIFC-TER-2-PREAGG-SR7-1</t>
  </si>
  <si>
    <t>DXB-DMC-PREAGG-SR7-1</t>
  </si>
  <si>
    <t>DXB-DUBAIOTECH-PREAGG-SR7-1</t>
  </si>
  <si>
    <t>DXB-KHZMEYDAN-PREAGG-SR7-1</t>
  </si>
  <si>
    <t>DXB-KHZMEYDAN-PREAGG-SR7-2</t>
  </si>
  <si>
    <t>FUJ-5003-PREAGG-SRa8-1</t>
  </si>
  <si>
    <t>RAK-2000-PREAGG-SR7-1</t>
  </si>
  <si>
    <t>RAK-2009-PREAGG-SR7-1</t>
  </si>
  <si>
    <t>RAK-2028-PREAGG-SR7-1</t>
  </si>
  <si>
    <t>RAK-2711-PREAGG-SR7-1</t>
  </si>
  <si>
    <t>RAK-2718-PREAGG-SR7-1</t>
  </si>
  <si>
    <t>RAK-2727-PREAGG-SR7-1</t>
  </si>
  <si>
    <t>RAK-2759-PREAGG-SR7-1</t>
  </si>
  <si>
    <t>SHJ-2010-PREAGG-SR7-1</t>
  </si>
  <si>
    <t>SHJ-2012-PREAGG-SR7-1</t>
  </si>
  <si>
    <t>SHJ-2017-PREAGG-SR7-1</t>
  </si>
  <si>
    <t>SHJ-2019-PREAGG-SR7-1</t>
  </si>
  <si>
    <t>SHJ-2020-PREAGG-SR7-1</t>
  </si>
  <si>
    <t>SHJ-2022-PREAGG-SR7-1</t>
  </si>
  <si>
    <t>SHJ-2040-PREAGG-SR7-1</t>
  </si>
  <si>
    <t>SHJ-2044-PREAGG-SR7-1</t>
  </si>
  <si>
    <t>SHJ-2049-PREAGG-SR7-1</t>
  </si>
  <si>
    <t>SHJ-2059-PREAGG-SR7-1</t>
  </si>
  <si>
    <t>SHJ-2226-PREAGG-SR7-1</t>
  </si>
  <si>
    <t>SHJ-2486-PREAGG-SR7-1</t>
  </si>
  <si>
    <t>SHJ-2508-PREAGG-SR7-1</t>
  </si>
  <si>
    <t>SHJ-2580-PREAGG-SR7-1</t>
  </si>
  <si>
    <t>SHJ-2649-PREAGG-SR7-1</t>
  </si>
  <si>
    <t>SHJ-2650-PREAGG-SR7-1</t>
  </si>
  <si>
    <t>SHJ-6501-PREAGG-SR7-1</t>
  </si>
  <si>
    <t>UAQ-2012-PREAGG-SR7-1</t>
  </si>
  <si>
    <t>UAQ-2016-PREAGG-SR7-1</t>
  </si>
  <si>
    <t>UAQ-2805-PREAGG-SR7-1</t>
  </si>
  <si>
    <t>UAQ-2806-PREAGG-SR7-1</t>
  </si>
  <si>
    <t>Device Name</t>
  </si>
  <si>
    <t>Free Ports</t>
  </si>
  <si>
    <t>Reserved Ports</t>
  </si>
  <si>
    <t>Used Ports</t>
  </si>
  <si>
    <t>AUH-KHAZNA-BPE-SR7-1</t>
  </si>
  <si>
    <t>AUH-KHAZNA-BPE-SR7-2</t>
  </si>
  <si>
    <t>CSG Port Count</t>
  </si>
  <si>
    <t>Services Port Count</t>
  </si>
  <si>
    <t>Total UP Ports</t>
  </si>
  <si>
    <t>AAN-5002-AGGR-SR12-1</t>
  </si>
  <si>
    <t>AAN-5002-AGGR-SR12-2</t>
  </si>
  <si>
    <t>AUH-5002-AGGR-SR7-1</t>
  </si>
  <si>
    <t>AUH-5002-AGGR-SR7-2</t>
  </si>
  <si>
    <t>NOKIA CODE</t>
  </si>
  <si>
    <t>DESCRIPTION</t>
  </si>
  <si>
    <t>Qty inside the BoQ</t>
  </si>
  <si>
    <t>Nokia PN</t>
  </si>
  <si>
    <t>Description</t>
  </si>
  <si>
    <t>Qty inside the bundle</t>
  </si>
  <si>
    <t>TOTAL QTY</t>
  </si>
  <si>
    <t>AGGv1 Bundle</t>
  </si>
  <si>
    <t>Nokia SR-7s - AGG v1 Bundle including:
(1) 3HE16196AA  BNDL 7750 SR-7s CPM2-7s CNTL RED DC PWR	
(1) 3HE12328AA  ACC - SR-7s/14s PWR SHELF ACC KIT LVDC 
(1) 3HE12460AA  ACC - 7750 SR-7s AIR FILTER DOOR KIT  
(3) 3HE12378AA  ACC - 7750 SR-7s XCM IMPEDANCE PNL 
(2) 3HE11305AA  XCM - 7750 SR-s XCM-7s 
(2) 3HE14027BA  IOM-s - SR-s IOM-s 3.0T - ER</t>
  </si>
  <si>
    <t>3HE16196AA</t>
  </si>
  <si>
    <t>BNDL 7750 SR-7s CPM2-7s CNTL RED DC PWR</t>
  </si>
  <si>
    <t>3HE12328AA</t>
    <phoneticPr fontId="1" type="noConversion"/>
  </si>
  <si>
    <t>ACC - SR-7s/14s PWR SHELF ACC KIT LVDC</t>
  </si>
  <si>
    <t>3HE12460AA</t>
  </si>
  <si>
    <t>ACC - 7750 SR-7s AIR FILTER DOOR KIT</t>
  </si>
  <si>
    <t>3HE12378AA</t>
    <phoneticPr fontId="1" type="noConversion"/>
  </si>
  <si>
    <t>ACC - 7750 SR-7s XCM IMPEDANCE PNL</t>
  </si>
  <si>
    <t>3HE11305AA</t>
    <phoneticPr fontId="1" type="noConversion"/>
  </si>
  <si>
    <t>XCM - 7750 SR-s XCM-7s</t>
  </si>
  <si>
    <t>3HE14027BA</t>
  </si>
  <si>
    <t>IOM-s - SR-s IOM-s 3.0T - ER</t>
  </si>
  <si>
    <t>AGGv2 Bundle</t>
  </si>
  <si>
    <t>Nokia SR-7s - AGG v2 Bundle including:
(1) 3HE16196AA  BNDL 7750 SR-7s CPM2-7s CNTL RED DC PWR 
(1) 3HE12328AA  ACC - SR-7s/14s PWR SHELF ACC KIT LVDC 
(1) 3HE12460AA  ACC - 7750 SR-7s AIR FILTER DOOR KIT 
(3) 3HE12378AA  ACC - 7750 SR-7s XCM IMPEDANCE PNL 
(2) 3HE11305AA  XCM - 7750 SR-s XCM-7s 
(2) 3HE12510BA IOM-s - SR-s IOM-s 1.6T - ER</t>
  </si>
  <si>
    <t>3HE12460AA</t>
    <phoneticPr fontId="1" type="noConversion"/>
  </si>
  <si>
    <t>3HE12510BA</t>
  </si>
  <si>
    <t>IOM-s - SR-s IOM-s 1.6T - ER</t>
  </si>
  <si>
    <t>AGGv3 Bundle</t>
  </si>
  <si>
    <t>Nokia SR-2s - AGG v3 Bundle including:
(1) 3HE14032AA  BNDL - 7750 SR-2s LVDC
(1) 3HE12519AA  ACC - 7750 SR-2s AIR FILTER KIT 
(1) 3HE14029AA  ACC - 7750 SR-s MDA-s IMPEDANCE PANEL 
(2) 3HE12379AA  XCM - 7750 SR-s XCM-2s
(2) 3HE12510BA  IOM-s - SR-s IOM-s 1.6T - ER</t>
  </si>
  <si>
    <t>3HE14032AA</t>
  </si>
  <si>
    <t>BNDL - 7750 SR-2s LVDC</t>
  </si>
  <si>
    <t>3HE12519AA</t>
  </si>
  <si>
    <t>ACC - 7750 SR-2s AIR FILTER KIT</t>
  </si>
  <si>
    <t>3HE14029AA</t>
    <phoneticPr fontId="1" type="noConversion"/>
  </si>
  <si>
    <t>ACC - 7750 SR-s MDA-s IMPEDANCE PANEL</t>
  </si>
  <si>
    <t>3HE12379AA</t>
  </si>
  <si>
    <t>XCM - 7750 SR-s XCM-2s</t>
  </si>
  <si>
    <t>AGGv1 400G Bundle</t>
  </si>
  <si>
    <t xml:space="preserve">AGG 400G MDA-s bundle including:
(1) 3HE12515AA  MDA-s – SR-s 4-pt QSFP-DD + 4-pt QSFP28
(4) 3HE15212AA  QSFP56-DD - 400G LR8 10Km 0/70C - each with 3HE00400PP - RTU License for 400G port
(2) 3HE10550AA  QSFP28 - 100GBASE-LR4 ROHS6/6 0/70C - each with 3HE00100PP - RTU License for 100G port </t>
  </si>
  <si>
    <t>3HE12515AA</t>
    <phoneticPr fontId="1" type="noConversion"/>
  </si>
  <si>
    <t>MDA-s – SR-s 4-pt QSFP-DD + 4-pt QSFP28</t>
  </si>
  <si>
    <t>3HE15212AA</t>
  </si>
  <si>
    <t xml:space="preserve">QSFP56-DD - 400G LR8 10Km 0/70C - each with 3HE00100PP - RTU License for 400G port </t>
  </si>
  <si>
    <t>3HE10550AA</t>
  </si>
  <si>
    <t xml:space="preserve">QSFP28 - 100GBASE-LR4 ROHS6/6 0/70C - each with 3HE00100PP - RTU License for 100G port </t>
  </si>
  <si>
    <t>AGGv3 400G Bundle</t>
  </si>
  <si>
    <t xml:space="preserve">AGG 400G MDA-s bundle including:
(1) 3HE12515AA  MDA-s – SR-s 4-pt QSFP-DD + 4-pt QSFP28
(2) 3HE15212AA  QSFP56-DD - 400G LR8 10Km 0/70C - each with 3HE00400PP - RTU License for 400G port
(4) 3HE10550AA  QSFP28 - 100GBASE-LR4 ROHS6/6 0/70C - each with 3HE00100PP - RTU License for 100G port </t>
  </si>
  <si>
    <t>3HE12515AA</t>
  </si>
  <si>
    <t>AGG 100G Bundle1</t>
  </si>
  <si>
    <t>AGG 100G MDA-s Bundle including:
(1) 3HE12511AA  MDA-s - SR-s 18-pt QSFP28 
(12) 3HE10550AA  QSFP28 - 100GBASE-LR4 ROHS6/6 0/70C - each with 3HE00100PP - RTU License for 100G port</t>
  </si>
  <si>
    <t>3HE12511AA</t>
    <phoneticPr fontId="1" type="noConversion"/>
  </si>
  <si>
    <t>MDA-s - SR-s 18-pt QSFP28</t>
  </si>
  <si>
    <t>AGG 100G Bundle2</t>
  </si>
  <si>
    <t xml:space="preserve">AGG 100G MDA-s bundle including:
(1) 3HE12511AA  MDA-s - SR-s 18-pt QSFP28 
(4) 3HE10550AA  QSFP28 - 100GBASE-LR4 ROHS6/6 0/70C - each with 3HE00100PP - RTU License for 100G port </t>
  </si>
  <si>
    <t>3HE12511AA</t>
  </si>
  <si>
    <t xml:space="preserve">MDA-s - SR-s 18-pt QSFP28 </t>
  </si>
  <si>
    <t>AGG 100G&amp;25G Bundle</t>
  </si>
  <si>
    <t xml:space="preserve">AGG 100G/25G MDA-s Bundle_v1 including:
(1) 3HE12511AA  MDA-s - 16pt SFP-DD MACsec + 4pt QSFP28 
(4) 3HE10550AA  QSFP28 - 100GBASE-LR4 ROHS6/6 0/70C - each with 3HE00100PP - RTU License for 100G port 
(8) 3HE14835AA SFP28  25GE LR - LC ROHS6/6 -40/85C - each with 3HE00025PP - RTU License for 25G port 
(4) 3HE15377AA   SFP28 - 25GE ER - LC ROHS6/6 -40/85C - each with 3HE00100PP - RTU License for 25G port </t>
  </si>
  <si>
    <t>3HE12513AA</t>
  </si>
  <si>
    <t>MDA-s - 16pt SFP-DD MACsec + 4pt QSFP28</t>
  </si>
  <si>
    <t>3HE14835AA</t>
  </si>
  <si>
    <t xml:space="preserve">SFP28  25GE LR - LC ROHS6/6 -40/85C - each with 3HE00100PP - RTU License for 25G port </t>
  </si>
  <si>
    <t>3HE15377AA</t>
  </si>
  <si>
    <t xml:space="preserve">SFP28 - 25GE ER - LC ROHS6/6 -40/85C - each with 3HE00100PP - RTU License for 25G port </t>
  </si>
  <si>
    <t>ESA Bundle</t>
  </si>
  <si>
    <t>AGG ESA Bundle for Ipsec including:
(1) 3HE15841AA  ESA - 7750 SR ESA 100G DC  
(2) 3HE10551AA  QSFP28 - 100GBASE-SR4 ROHS6/6 0/70C - each with 3HE00100PP - RTU License for 100G port</t>
  </si>
  <si>
    <t>3HE15841AA</t>
  </si>
  <si>
    <t>ESA - 7750 SR ESA 100G DC</t>
  </si>
  <si>
    <t>3HE10551AA</t>
  </si>
  <si>
    <t xml:space="preserve">QSFP28 - 100GBASE-SR4 ROHS6/6 0/70C - each with 3HE00100PP - RTU License for 100G port </t>
  </si>
  <si>
    <t>3HE12392AA</t>
  </si>
  <si>
    <t>XMA - SR-s 4.8T 36pt QSFP-DD CR to 12T</t>
  </si>
  <si>
    <t>3HE12390AA</t>
  </si>
  <si>
    <t>XMA - SR-s 3.6T 36pt QSFP-DD CR</t>
  </si>
  <si>
    <t>3HE13956AA</t>
  </si>
  <si>
    <t>XMA-SR-s 3.6T 36pt QSFP28 CR</t>
  </si>
  <si>
    <t>3HE11307AA</t>
  </si>
  <si>
    <t>XMA - SR-s 2.4T 36pt QSFP28 CR to 3.6T</t>
  </si>
  <si>
    <t>3HE13956BA</t>
  </si>
  <si>
    <t>XMA-SR-s 3.6T 36pt QSFP28 ER</t>
  </si>
  <si>
    <t>3HE12388BA</t>
  </si>
  <si>
    <t>XMA - SR-s 2.4T 24pt QSFP28 ER</t>
  </si>
  <si>
    <t>3HE12526BA</t>
  </si>
  <si>
    <t>XMA - SR-s 1.2T 18pt QSFP28 ER to 1.8T</t>
  </si>
  <si>
    <t>3HE12525BA</t>
  </si>
  <si>
    <t>XMA - SR-s 1.2T 12pt QSFP28 ER</t>
  </si>
  <si>
    <t>3HE11305AA</t>
  </si>
  <si>
    <t>3HE15563AA</t>
  </si>
  <si>
    <t>MDA-s - SR-s 2pt QSFP-DD + 2pt QSFP28</t>
  </si>
  <si>
    <t>3HE15562AA</t>
  </si>
  <si>
    <t>MDA-s - 8pt SFP-DD MACsec + 2pt QSFP28</t>
  </si>
  <si>
    <t>AGG_SR12E_Upgrade_400G</t>
  </si>
  <si>
    <t xml:space="preserve">7750 SR-7/12e AGG 400G IOM5 + MDA-e-XP card Bundle including:
(1) 3HE12332BA  IOM - 7750 SR IOM5-e - ER 
(2) 3HE15152AA  MDA-e-XP - 7750 SR 6-pt QSFP-DD 	
(8) 3HE15212AA  QSFP56-DD - 400G LR8 10Km 0/70C - each with 3HE00100PP - RTU License for 400G port
(10) 3HE10550AA  QSFP28 - 100GBASE-LR4 ROHS6/6 0/70C - each with 3HE00100PP - RTU License for 100G port </t>
  </si>
  <si>
    <t>3HE12332BA</t>
  </si>
  <si>
    <t xml:space="preserve">IOM - 7750 SR IOM5-e - ER </t>
  </si>
  <si>
    <t>3HE15152AA</t>
  </si>
  <si>
    <t xml:space="preserve">MDA-e-XP - 7750 SR 6-pt QSFP-DD </t>
  </si>
  <si>
    <t>AGG_SR12E_Upgrade_100G</t>
  </si>
  <si>
    <t xml:space="preserve">7750 SR-7/12e 100G MDA-e-XP Bundle including:
(1) 3HE12333AA  MDA-e-XP - 7750 SR 6-pt QSFP28
(2) 3HE10550AA  QSFP28 - 100GBASE-LR4 ROHS6/6 0/70C - each with 3HE00100PP - RTU License for 100G port
(1) 3HE11239AA  QSFP28 - 100GBase-ER4Lite RoHS6/6 0/70C - each with 3HE00100PP - RTU License for 100G port </t>
  </si>
  <si>
    <t>3HE12333AA</t>
  </si>
  <si>
    <t>MDA-e-XP - 7750 SR 6-pt QSFP28</t>
  </si>
  <si>
    <t>3HE11239AA</t>
  </si>
  <si>
    <t xml:space="preserve">QSFP28 - 100GBase-ER4Lite RoHS6/6 0/70C - each with 3HE00100PP - RTU License for 100G port </t>
  </si>
  <si>
    <t>AGG_SR7/12E_Upgrade_25G</t>
  </si>
  <si>
    <t>7750 SR-7/12e 25G MDA-e-XP Bundle including:
(1) 3HE15151AA  MDA-e-XP 16pt 10/25G SFP28 + 2pt QSFP28
(2) 3HE10550AA  QSFP28 - 100GBASE-LR4 ROHS6/6 0/70C - each with 3HE00100PP - RTU License for 100G port 
(8) 3HE14835AA  SFP28  25GE LR - LC ROHS6/6 -40/85C - each with 3HE00100PP - RTU License for 25G port
(4) 3HE15377AA  SFP28 - 25GE ER - LC ROHS6/6 -40/85C - each with 3HE00100PP - RTU License for 25G port</t>
  </si>
  <si>
    <t>3HE15151AA</t>
  </si>
  <si>
    <t>MDA-e-XP 16pt 10/25G SFP28 + 2pt QSFP28</t>
  </si>
  <si>
    <t>SR7B Upgrade for PAGG Layer</t>
  </si>
  <si>
    <t xml:space="preserve">7750 SR-7 PAGG 400G  upgrade Bundle including:
(2) 3HE15764AA  MDA-e-XP - 7750 SR 3-pt QSFP-DD
(1) 3HE15151AA  MDA-e-XP 16pt 10/25G SFP28 + 2pt QSFP28
(2) 3HE15212AA  QSFP56-DD - 400G LR8 10Km 0/70C - each with 3HE00100PP - RTU License for 400G port
(7) 3HE14835AA  SFP28  25GE LR - LC ROHS6/6 -40/85C - each with 3HE00100PP - RTU License for 25G port
(3) 3HE15377AA  SFP28 - 25GE ER - LC ROHS6/6 -40/85C - each with 3HE00100PP - RTU License for 25G port </t>
  </si>
  <si>
    <t>3HE15764AA</t>
  </si>
  <si>
    <t>MDA-e-XP - 7750 SR 3-pt QSFP-DD</t>
  </si>
  <si>
    <t>3HE13727BA</t>
  </si>
  <si>
    <t>IOM - 7750 SR IOM5-e 400G - ER - SR7/12</t>
  </si>
  <si>
    <t>3HE12334AA</t>
  </si>
  <si>
    <t>MDA-e-XP - 7750 SR 12-pt QSFP28</t>
  </si>
  <si>
    <t>3HE13478AA</t>
  </si>
  <si>
    <t>VSR-a SN7 R16 DC</t>
  </si>
  <si>
    <t>1</t>
  </si>
  <si>
    <t>3HE12032AA</t>
  </si>
  <si>
    <t>DC Power Supply Cable</t>
  </si>
  <si>
    <t>SCSG_High Bundle</t>
  </si>
  <si>
    <t>7250 IXR-R6 SCSG-High 400G Base Bundle:
(1) 7250 IXR-R6 Chassis Bundle
(1) 3HE16706AA  SYS - 7250-IXR-R6x Fan Tray
(2) 3HE16704AA  CPM - 7250 IXR-R6x/xp CPIOM
(1) 3HE16738AA  ACC - MDA Impedance Panel (R6x)
(2) 3HE16717AA  MDA - 1 x QSFP-DD + 1 x QSFP28 (R6x)
(2) 3HE15212AA  QSFP56-DD - 400G LR8 10Km 0/70C - each with 3HE00100PP - RTU License for 400G port 
(1) 3HE16712AA  MDA - 15 x SFP28 or 18 x SFP+ (R6x)
(3) 3HE14835AA  SFP28  25GE LR - LC ROHS6/6 -40/85C - each with 3HE00100PP - RTU License for 25G port
(2) 3HE15377AA SFP28 - 25GE ER - LC ROHS6/6 -40/85C - each with 3HE00100PP - RTU License for 25G port
(2) 3HE16713AA MDA - 20 x SFP+ (R6x)
(16) 3HE09327AA SFP+ 10GE LR - LC ROHS6/6-40/85C - each with 3HE00100PP - RTU License for 10G port
(4) 3HE09328AA SFP+ 10GE ER - LC ROHS6/6-40/85C - each with 3HE00100PP - RTU License for 10G port
(2) 3HE09329AA  SFP+ 10GE ZR - LC ROHS6/6 -40/85C - each with 3HE00100PP - RTU License for 10G port</t>
  </si>
  <si>
    <t>3HE16708AA</t>
  </si>
  <si>
    <t>SYS - 7250 IXR-R6x Chassis</t>
  </si>
  <si>
    <t>3HE16706AA</t>
  </si>
  <si>
    <t>SYS - 7250-IXR-R6x Fan Tray</t>
  </si>
  <si>
    <t>3HE16704AA</t>
  </si>
  <si>
    <t>CPM - 7250 IXR-R6x/xp CPIOM</t>
  </si>
  <si>
    <t>3HE16738AA</t>
  </si>
  <si>
    <t>ACC - MDA Impedance Panel (R6x)</t>
  </si>
  <si>
    <t>3HE16717AA</t>
  </si>
  <si>
    <t>MDA - 1 x QSFP-DD + 1 x QSFP28 (R6x)</t>
  </si>
  <si>
    <t>3HE16712AA</t>
  </si>
  <si>
    <t>MDA - 15 x SFP28/SFP+ + 3 x SFP+ MDA</t>
  </si>
  <si>
    <t>3HE16713AA</t>
  </si>
  <si>
    <t>MDA - 20 x SFP+ (R6x)</t>
  </si>
  <si>
    <t>3HE09327AA</t>
  </si>
  <si>
    <t xml:space="preserve">SFP+ 10GE LR - LC ROHS6/6-40/85C - each with 3HE00100PP - RTU License for 10G port </t>
  </si>
  <si>
    <t>3HE09328AA</t>
  </si>
  <si>
    <t xml:space="preserve">SFP+ 10GE ER - LC ROHS6/6-40/85C - each with 3HE00100PP - RTU License for 10G port </t>
  </si>
  <si>
    <t>3HE09329AA</t>
  </si>
  <si>
    <t xml:space="preserve">SFP+ 10GE ZR - LC ROHS6/6 -40/85C - each with 3HE00100PP - RTU License for 10G port </t>
  </si>
  <si>
    <t>SCSG_Low Bundle1</t>
  </si>
  <si>
    <t xml:space="preserve">7250 IXR-R6 SCSG-Low1 Bundle including:
(1) 3HE13584AA  7250 IXR-R6 Chassis Bundle
(1) 3HE11283AA  7250 IXR-R6 CPIOM
(4) 3HE11282AA. 1P 100GE QSFP28 +6P 10GE SFP+ MDA
(2) 3HE12523AA. 6P 10GE SFP+ + 4P 25GE SFP28 MDA
(4) 3HE10550AA QSFP28 - 100GBASE-LR4 ROHS6/6 0/70C - each with 3HE00100PP - RTU License for 100G port 
(3) 3HE14835AA. SFP28  25GE LR - LC ROHS6/6 -40/85C - each with 3HE00100PP - RTU License for 25G port 
(2) 3HE15377AA. SFP28 - 25GE ER - LC ROHS6/6 -40/85C - each with 3HE00100PP - RTU License for 25G port 
(15) 3HE09327AA. SFP+ 10GE LR - LC ROHS6/6-40/85C - each with 3HE00100PP - RTU License for 10G port
(3) 3HE09328AA 	SFP+ 10GE ER - LC ROHS6/6-40/85C - each with 3HE00100PP - RTU License for 10G port 
(2) 3HE09329AA SFP+ 10GE ZR - LC ROHS6/6 -40/85C - each with 3HE00100PP - RTU License for 10G port </t>
  </si>
  <si>
    <t>3HE13584AA</t>
  </si>
  <si>
    <t>7250 IXR-R6 Chassis Bundle</t>
  </si>
  <si>
    <t>3HE11283AA</t>
  </si>
  <si>
    <t>7250 IXR-R6 CPIOM</t>
  </si>
  <si>
    <t>3HE11282AA</t>
  </si>
  <si>
    <t>1P 100GE QSFP28 +6P 10GE SFP+ MDA</t>
  </si>
  <si>
    <t>3HE12523AA</t>
  </si>
  <si>
    <t>6P 10GE SFP+ + 4P 25GE SFP28 MDA</t>
  </si>
  <si>
    <t>SCSG_Low Bundle2</t>
  </si>
  <si>
    <t xml:space="preserve">7250 IXR-R6 SCSG-Low2 Bundle including:
(1) 3HE13584AA  7250 IXR-R6 Chassis Bundle
(1) 3HE11283AA  7250 IXR-R6 CPIOM
(2) 3HE11282AA. 1P 100GE QSFP28 +6P 10GE SFP+ MDA
(2) 3HE11280AA  10P 10GE SFP+ MDA
(2) 3HE12523AA. 6P 10GE SFP+ + 4P 25GE SFP28 MDA
(2) 3HE10550AA. QSFP28 - 100GBASE-LR4 ROHS6/6 0/70C - each with 3HE00100PP - RTU License for 100G port 
(3) 3HE14835AA. SFP28  25GE LR - LC ROHS6/6 -40/85C - each with 3HE00100PP - RTU License for 25G port 
(2) 3HE15377AA. SFP28 - 25GE ER - LC ROHS6/6 -40/85C - each with 3HE00100PP - RTU License for 25G port 
(15) 3HE09327AA. SFP+ 10GE LR - LC ROHS6/6-40/85C - each with 3HE00100PP - RTU License for 10G port
(3) 3HE09328AA 	SFP+ 10GE ER - LC ROHS6/6-40/85C - each with 3HE00100PP - RTU License for 10G port 
(2) 3HE09329AA  SFP+ 10GE ZR - LC ROHS6/6 -40/85C - each with 3HE00100PP - RTU License for 10G port </t>
  </si>
  <si>
    <t>3HE11280AA</t>
  </si>
  <si>
    <t>10P 10GE SFP+ MDA</t>
  </si>
  <si>
    <t>SCSG_High_25G Bundle</t>
  </si>
  <si>
    <t>7250 IXR-R6 25G MDA bundle including:
(1) 3HE16712AA  MDA - 15 x SFP28 or 18 x SFP+ (R6x)
(7) 3HE14835AA  SFP28  25GE LR - LC ROHS6/6 -40/85C - each with 3HE00100PP - RTU License for 25G port
(3) 3HE15377AA  SFP28 - 25GE ER - LC ROHS6/6 -40/85C - each with 3HE00100PP - RTU License for 25G port</t>
  </si>
  <si>
    <t>MDA - 15 x SFP28 or 18 x SFP+ (R6x)</t>
  </si>
  <si>
    <t>SCSG_25G Bundle</t>
  </si>
  <si>
    <t>7250 IXR-R6 SGCG 25G MDA Bundle including:
(1) 3HE12523AA  6P 10GE SFP+ + 4P 25GE SFP28 MDA
(3) 3HE14835AA  SFP28  25GE LR - LC ROHS6/6 -40/85C - each with 3HE00100PP - RTU License for 25G port
(1) 3HE15377AA  SFP28 - 25GE ER - LC ROHS6/6 -40/85C - each with 3HE00100PP - RTU License for 25G port</t>
  </si>
  <si>
    <t>SCSG_High_10G Bundle</t>
  </si>
  <si>
    <t>7250 IXR-R6 High 10G Bundle including:
(1)3HE16713AA  MDA - 20 x SFP+ (R6x)
(14) 3HE09327AA	SFP+ 10GE LR - LC ROHS6/6-40/85C - each with 3HE00100PP - RTU License for 10G port 
(4) 3HE09328AA	SFP+ 10GE ER - LC ROHS6/6-40/85C - each with 3HE00100PP - RTU License for 10G port 
(2) 3HE09329AA	SFP+ 10GE ZR - LC ROHS6/6 -40/85C - each with 3HE00100PP - RTU License for 10G port</t>
  </si>
  <si>
    <t>SCSG_10G_Bundle</t>
  </si>
  <si>
    <t>7250 IXR-R6 Low 10G Bundle including:
(1) 3HE11280AA  10P 10GE SFP+ MDA 
(2) 3HE09327AA  SFP+ 10GE LR - LC ROHS6/6-40/85C - each with 3HE00100PP - RTU License for 10G port</t>
  </si>
  <si>
    <t>IXR 100G to 400G Upgrade Bundle</t>
  </si>
  <si>
    <t>7250 IXR-R6 400G upgrade Bundle
(2) 3HE16717AA MDA - 1 x QSFP-DD + 1 x QSFP28 (R6x)
(2) 3HE15212AA  QSFP56-DD - 400G LR8 10Km 0/70C - each with 3HE00100PP - RTU License for 400G port
Applicable on Existing IXR-R6</t>
  </si>
  <si>
    <t>3HE16716AA</t>
  </si>
  <si>
    <t>MDA - 5 x QSFP28 (R6x)</t>
  </si>
  <si>
    <t>3HE11282AA-BL</t>
  </si>
  <si>
    <t>(1)3HE11282AA 1P 100GE QSFP28 +6P 10GE SFP+ MDA
(1)3HE10550AA QSFP28-LR</t>
  </si>
  <si>
    <t>3HELB010AA</t>
  </si>
  <si>
    <t>MDA - 16 x cSFP (R6x)</t>
  </si>
  <si>
    <t>3HELB008AA</t>
  </si>
  <si>
    <t>MDA - 10 x SFP56 (R6x)</t>
  </si>
  <si>
    <t>IXR-e-Big Bundle</t>
  </si>
  <si>
    <t>7250 IXR-E CSG-High with 100G Bundle including:
(1) 3HE15554AA	BNDL-7250 IXR-e 24SFP+ 8SFP28 2QSFP28 DC
(2) 3HE10550AA	QSFP28 - 100GBASE-LR4 ROHS6/6 0/70C - each with 3HE00100PP - RTU License for 100G port
(3) 3HE14835AA	SFP28  25GE LR - LC ROHS6/6 -40/85C - each with 3HE00100PP - RTU License for 25G port 
(1) 3HE15377AA	SFP28 - 25GE ER - LC ROHS6/6 -40/85C - each with 3HE00100PP - RTU License for 25G port 
(7) 3HE09327AA	SFP+ 10GE LR - LC ROHS6/6-40/85C - each with 3HE00100PP - RTU License for 10G port 
(2) 3HE09328AA	SFP+ 10GE ER - LC ROHS6/6-40/85C - each with 3HE00100PP - RTU License for 10G port 
(1) 3HE09329AA	SFP+ 10GE ZR - LC ROHS6/6 -40/85C - each with 3HE00100PP - RTU License for 10G port 
(1) 3HE15664BA	OS - 7250 IXR R20.x ZTP OS LICENSE SMALL
(1) 3HE14633AA	1588 Freq &amp; Phase, IXR-e Small</t>
  </si>
  <si>
    <t>3HE15554AA</t>
  </si>
  <si>
    <t>BNDL-7250 IXR-e 24SFP+ 8SFP28 2QSFP28 DC</t>
  </si>
  <si>
    <t>3HE15664BA</t>
  </si>
  <si>
    <t>OS - 7250 IXR R20.x ZTP OS LICENSE SMALL</t>
  </si>
  <si>
    <t>3HE14633AA</t>
  </si>
  <si>
    <t>1588 Freq &amp; Phase, IXR-e Small</t>
  </si>
  <si>
    <t>IXR-e-Big Bundle wthout 100G</t>
  </si>
  <si>
    <t>7250 IXR-E CSG-High without 100G Bundle including:
(1) 3HE15554AA	BNDL-7250 IXR-e 24SFP+ 8SFP28 2QSFP28 DC
(2) 3HE14835AA	SFP28  25GE LR - LC ROHS6/6 -40/85C - each with 3HE00100PP - RTU License for 25G port 
(7) 3HE09327AA	SFP+ 10GE LR - LC ROHS6/6-40/85C - each with 3HE00100PP - RTU License for 10G port 
(2) 3HE09328AA	SFP+ 10GE ER - LC ROHS6/6-40/85C - each with 3HE00100PP - RTU License for 10G port 
(1) 3HE09329AA	SFP+ 10GE ZR - LC ROHS6/6 -40/85C - each with 3HE00100PP - RTU License for 10G port 
(1) 3HE15664BA	OS - 7250 IXR R20.x ZTP OS LICENSE SMALL
(1) 3HE14633AA	1588 Freq &amp; Phase, IXR-e Small</t>
  </si>
  <si>
    <t>IXR-e-Small Bundle</t>
  </si>
  <si>
    <t>7250 IXR-e CSG-low Bundle including:
(1) 3HE15556AA	BNDL-7250 IXR-e 14SFP+ 4T DC
(5) 3HE09327AA	SFP+ 10GE LR - LC ROHS6/6-40/85C - each with 3HE00100PP - RTU License for 10G port 
(2) 3HE09328AA	SFP+ 10GE ER - LC ROHS6/6-40/85C - each with 3HE00100PP - RTU License for 10G port 
(1) 3HE09329AA	SFP+ 10GE ZR - LC ROHS6/6 -40/85C - each with 3HE00100PP - RTU License for 10G port 
(4) 3HE00062CB 	SFP - GIGE BASE-T RJ45 R6/6 DDM -40/85C - each with 3HE00100PP - RTU License for GIGE BASE-T RJ45 port 
(1) 3HE15664BA	OS - 7250 IXR R20.x ZTP OS LICENSE SMALL
(1) 3HE14633AA	1588 Freq &amp; Phase, IXR-e Small</t>
  </si>
  <si>
    <t>3HE15556AA</t>
  </si>
  <si>
    <t>BNDL-7250 IXR-e 14SFP+ 4T DC</t>
  </si>
  <si>
    <t>3HE00062CB</t>
  </si>
  <si>
    <t xml:space="preserve">SFP - GIGE BASE-T RJ45 R6/6 DDM -40/85C - each with 3HE00100PP - RTU License for GIGE BASE-T RJ45 port </t>
  </si>
  <si>
    <t>7210 SAS-Sx Bundle</t>
  </si>
  <si>
    <t>7210 SAS-Sx 10/100G Bundle including:
(1) 3HE11597AA  SYS - 7210 SAS-Sx 64SFP+ 4QSFP28  
(2) 3HE10837AA  PS - 7210 SAS-Sx Power Supply DC -48V (F) 
(4) 3HE10551AA  QSFP28 - 100GBASE-SR4 ROHS6/6 0/70C - each with 3HE00100PP - RTU License for 100G port 
(45) 3HE09327AA  SFP+ 10GE LR - LC ROHS6/6-40/85C - each with 3HE00010PP - RTU License for 10G port 
(13) 3HE09328AA  SFP+ 10GE ER - LC ROHS6/6-40/85C - each with 3HE00010PP - RTU License for 10G port 
(6) 3HE09329AA  SFP+ 10GE ZR - LC ROHS6/6 -40/85C - each with 3HE00010PP - RTU License for 10G port</t>
  </si>
  <si>
    <t>3HE11597AA</t>
  </si>
  <si>
    <t>SYS - 7210 SAS-Sx 64SFP+ 4QSFP28</t>
  </si>
  <si>
    <t>3HE10837AA</t>
  </si>
  <si>
    <t>PS - 7210 SAS-Sx Power Supply DC -48V (F)</t>
  </si>
  <si>
    <t>7750 SR-7s Chassis Bundle for Testbed</t>
  </si>
  <si>
    <t xml:space="preserve">7750 SR-7s Testbed Bundle ( Limited to  Qty = 2) including:
(1)3HE14287AA  BNDL - 7750 SR-2s non-red CNTL + LVDC 
(1)3HE11305AA  XCM - 7750 SR-s XCM-7s
(1)3HE12510BA  IOM-s - SR-s IOM-s 1.6T - ER
(1)3HE15563AA  MDA-s - SR-s 2pt QSFP-DD + 2pt QSFP28
(1)3HE15562AA  MDA-s - 8pt SFP-DD MACsec + 2pt QSFP28
(1)3HE10550AA  QSFP28 - 100GBASE-LR4 ROHS6/6 0/70C - each with 3HE00100PP - RTU License for (1)100G port 
(1)3HE14835AA  SFP28  25GE LR - LC ROHS6/6 -40/85C - each with 3HE00100PP - RTU License for 25G port </t>
  </si>
  <si>
    <t>3HE16198AA</t>
  </si>
  <si>
    <t>BNDL 7750 SR-7s CPM2-7s NON-RED CNTL DC</t>
  </si>
  <si>
    <t>7750 SR-2s Chassis Bundle for Testbed</t>
  </si>
  <si>
    <t xml:space="preserve">7750 SR-2s Testbed Bundle ( Limited to  Qty = 1) including:
(1) 3HE16198AA  BNDL 7750 SR-7s CPM2-7s NON-RED CNTL DC
(1) 3HE11305AA  XCM - 7750 SR-s XCM-7s
(1) 3HE12510BA  IOM-s - SR-s IOM-s 1.6T - ER
(1) 3HE15563AA  MDA-s - SR-s 2pt QSFP-DD + 2pt QSFP28
(1) 3HE15562AA  MDA-s - 8pt SFP-DD MACsec + 2pt QSFP28
(1) 3HE10550AA  QSFP28 - 100GBASE-LR4 ROHS6/6 0/70C - each with 3HE00100PP - RTU License for 100G port 
(1) 3HE14835AA  SFP28  25GE LR - LC ROHS6/6 -40/85C - each with 3HE00100PP - RTU License for 25G port </t>
  </si>
  <si>
    <t>3HE14287AA</t>
  </si>
  <si>
    <t xml:space="preserve">BNDL - 7750 SR-2s non-red CNTL + LVDC </t>
  </si>
  <si>
    <t>1830-ONE-Bundle</t>
  </si>
  <si>
    <t>Nokia 1830-ONE Bundle including:
(1) 3KC90106AA - SHELF uROADM, 4 SLOTS
(2) 3KC90004AA - AGG-ROADM POWER SUPPLY UNIT
(1) 3KC90005AA - AGG-ROADM FAN UNIT
(3) 3KC90110AA - I/O SLOT FILLER
(1) 3KC90025AA -  INSTALLATION KIT</t>
  </si>
  <si>
    <t>3KC90106AA</t>
  </si>
  <si>
    <t>SHELF uROADM, 4 SLOTS</t>
  </si>
  <si>
    <t>3KC90004AA</t>
  </si>
  <si>
    <t>AGG-ROADM POWER SUPPLY UNIT</t>
  </si>
  <si>
    <t>3KC90005AA</t>
  </si>
  <si>
    <t>AGG-ROADM FAN UNIT</t>
  </si>
  <si>
    <t>3KC90110AA</t>
  </si>
  <si>
    <t>I/O SLOT FILLER</t>
  </si>
  <si>
    <t>3KC90025AA</t>
  </si>
  <si>
    <t>INSTALLATION KIT</t>
  </si>
  <si>
    <t>3HE16564AA</t>
  </si>
  <si>
    <t xml:space="preserve">QSFP-DD ZR each with 3HE00100PP - RTU License for 400G port </t>
  </si>
  <si>
    <t>3HE16565AA</t>
  </si>
  <si>
    <t xml:space="preserve">QSFP-DD ZR+  each with 3HE00100PP - RTU License for 400G port </t>
  </si>
  <si>
    <t>3HE15211AA</t>
  </si>
  <si>
    <t xml:space="preserve">QSFP56-DD - 400G SR8 100m 0/70C (MPO-16)- each with 3HE00100PP - RTU License for 400G port </t>
  </si>
  <si>
    <t>3HE16558AA</t>
  </si>
  <si>
    <t xml:space="preserve">QSFP28 - 100G ZR4 0/70C - each with 3HE00100PP - RTU License for 100G port </t>
  </si>
  <si>
    <t>3HE00027CA</t>
  </si>
  <si>
    <t xml:space="preserve">SFP - GIGE SX - LC ROHS 6/6 DDM -40/85C - each with 3HE00100PP - RTU License for GIGE port </t>
  </si>
  <si>
    <t>3HE00028CA</t>
  </si>
  <si>
    <t xml:space="preserve">SFP - GIGE LX - LC ROHS 6/6 DDM -40/85C - each with 3HE00100PP - RTU License for GIGE port </t>
  </si>
  <si>
    <t>3HE00867CA</t>
  </si>
  <si>
    <t xml:space="preserve">SFP - GIGE EX - LC ROHS 6/6 DDM -40/85C - each with 3HE00100PP - RTU License for GIGE port </t>
  </si>
  <si>
    <t>3HE00029CA</t>
  </si>
  <si>
    <t xml:space="preserve">SFP - GIGE ZX - LC ROHS 6/6 DDM -40/85C - each with 3HE00100PP - RTU License for GIGE port </t>
  </si>
  <si>
    <t>3AL82105AAAA</t>
  </si>
  <si>
    <t xml:space="preserve">CSoP Smart SFP, 15 km STM-1 over GbE - each with 3HE00100PP - RTU License for STM1 port </t>
  </si>
  <si>
    <t>1AK23152AAAA</t>
  </si>
  <si>
    <t>3AL82104AAAA</t>
  </si>
  <si>
    <t xml:space="preserve">TPoP Smart SFP, E1 120 Ohm balanced, RJ45 - each with 3HE00100PP - RTU License for E1 port </t>
  </si>
  <si>
    <t>1AK23148AAAA</t>
  </si>
  <si>
    <t>3HE400GLRtoZR</t>
  </si>
  <si>
    <t>400G QSFP-DD LR to ZR Upgrade</t>
  </si>
  <si>
    <t>3HE400GLRtoZR+</t>
  </si>
  <si>
    <t>400G QSFP-DD LR to ZR+ Upgrade</t>
  </si>
  <si>
    <t>3HE100GLRtoER</t>
  </si>
  <si>
    <t>QSFP28 - 100G LR to ER Upgrade</t>
  </si>
  <si>
    <t>3HE100GLRtoZR</t>
  </si>
  <si>
    <t>QSFP28 - 100G LR to ZR Upgrade</t>
  </si>
  <si>
    <t>100G/400G Amplifier Bundle</t>
  </si>
  <si>
    <t>Amplifier Bundle including:
(1) 3KC90114AA  EDFA AMPLIFIER CARD
(1) 3KC90136AA  EDFA AMPLIFIER PLUGGABLE MODULE</t>
  </si>
  <si>
    <t>3KC90114AA</t>
  </si>
  <si>
    <t>EDFA AMPLIFIER CARD</t>
  </si>
  <si>
    <t>3KC90136AA</t>
  </si>
  <si>
    <t>EDFA AMPLIFIER PLUGGABLE MODULE</t>
  </si>
  <si>
    <t>100G QSFP28 Upgrade Bundle</t>
  </si>
  <si>
    <t xml:space="preserve">QSFP28 bundle exclusive for SR-12e Upgrade, including:
(5) 3HE10550AA  QSFP28 - 100GBASE-LR4 ROHS6/6 0/70C - each with 3HE00100PP - RTU License for 100G port
(2) 3HE11239AA  QSFP28 - 100GBase-ER4Lite RoHS6/6 0/70C - each with 3HE00100PP - RTU License for 100G port 
(1) 3HE16558AA QSFP28 - 100G ZR4 0/70C - each with 3HE00100PP - RTU License for 100G port </t>
  </si>
  <si>
    <t>3HE15808AA</t>
  </si>
  <si>
    <t>SR - OS - 7450/7750/7950 R20.x LICENSE</t>
  </si>
  <si>
    <t>3HE15809AA</t>
  </si>
  <si>
    <t>SR - OS - ZTP 7750/7950 R20.x LICENSE</t>
  </si>
  <si>
    <t>3HE15662BA</t>
  </si>
  <si>
    <t>OS - 7250 IXR R20.x ZTP OS LICENSE LARGE</t>
  </si>
  <si>
    <t>3HE15663BA</t>
  </si>
  <si>
    <t>OS - 7250 IXR R20.x ZTP OS LICENSE MED</t>
  </si>
  <si>
    <t>3HE15662AA</t>
  </si>
  <si>
    <t>OS - 7250 IXR R20.x OS LICENSE LARGE</t>
  </si>
  <si>
    <t>3HE15663AA</t>
  </si>
  <si>
    <t>OS - 7250 IXR R20.x OS LICENSE MED</t>
  </si>
  <si>
    <t>3HE15664AA</t>
  </si>
  <si>
    <t>OS - 7250 IXR R20.x OS LICENSE SMALL</t>
  </si>
  <si>
    <t>3HE11471CA</t>
  </si>
  <si>
    <t>OS-7210 SAS-Sx 10/100 Base Lic Sat R11.0</t>
  </si>
  <si>
    <t>3HELB019AA</t>
  </si>
  <si>
    <t>RTU - 1588 Freq &amp; Phase LICENSE LARGE</t>
  </si>
  <si>
    <t>3HE14632AA</t>
  </si>
  <si>
    <t>1588 Freq &amp; Phase, IXR-e Big</t>
  </si>
  <si>
    <t>3HE06490AA</t>
  </si>
  <si>
    <t>RTU - SROS ESM - 64K SUB-HOSTS</t>
  </si>
  <si>
    <t>3HELB021AA</t>
  </si>
  <si>
    <t>RTU - Large FIB scale License, IXR</t>
  </si>
  <si>
    <t>3HE11380AA</t>
  </si>
  <si>
    <t>ASL VSR BGP Route Reflector</t>
  </si>
  <si>
    <t>3HE16254NSP</t>
  </si>
  <si>
    <t>NSP LP bundle including:
(1) 3HE16254AA  NSP LICENCE POINT
(1) 3HE16255AA  NSP HIGH AVAILABILITY FP
(1) 3HE16001AA  NSP CLASSIC MANAGEMENT FP
(1) 3HE16003AA  NSP NETWORK INFRASTRUCTURE MANAGEMENT FP
(1) 3HE16004AA  NSP SERVICE ACTIVATION + CONFIG. FP
(1) 3HE16005AA  NSP SERVICE ASSURANCE FP
(1) 3HE16011AA  NSP WORKFLOW AUTOMATION ENGINE FP</t>
  </si>
  <si>
    <t>3HE16254AA</t>
  </si>
  <si>
    <t>NSP LICENCE POINT</t>
  </si>
  <si>
    <t>3HE16255AA</t>
  </si>
  <si>
    <t>NSP HIGH AVAILABILITY FP</t>
  </si>
  <si>
    <t>3HE16001AA</t>
  </si>
  <si>
    <t>NSP CLASSIC MANAGEMENT FP</t>
  </si>
  <si>
    <t>3HE16003AA</t>
  </si>
  <si>
    <t>NSP NETWORK INFRASTRUCTURE MANAGEMENT FP</t>
  </si>
  <si>
    <t>3HE16004AA</t>
  </si>
  <si>
    <t>NSP SERVICE ACTIVATION + CONFIG. FP</t>
  </si>
  <si>
    <t>3HE16005AA</t>
  </si>
  <si>
    <t>NSP SERVICE ASSURANCE FP</t>
  </si>
  <si>
    <t>3HE16011AA</t>
  </si>
  <si>
    <t>NSP WORKFLOW AUTOMATION ENGINE FP"</t>
  </si>
  <si>
    <t>3HE14307AA-BL</t>
  </si>
  <si>
    <t>UPG - IOM-s 1.6T ER to 3.0T ER</t>
  </si>
  <si>
    <t>3HE14307AA</t>
  </si>
  <si>
    <t>3HE11839AA</t>
  </si>
  <si>
    <t>Deepfield Core Platform - Includes Cloud Genome - PERPETUAL</t>
  </si>
  <si>
    <t>3HE15610AA</t>
  </si>
  <si>
    <t>Deepfield Network Firewall - per Gbps bandwidth license per Gpbs - Tier between 600 and 1250 Gbps - PERPETUAL</t>
  </si>
  <si>
    <t>3HE16016AA</t>
  </si>
  <si>
    <t>NSP IP CONTROL CLASS 1 NODE</t>
  </si>
  <si>
    <t>3HE16017AA</t>
  </si>
  <si>
    <t>NSP IP CONTROL CLASS 2 NODE</t>
  </si>
  <si>
    <t>3HE16018AA</t>
  </si>
  <si>
    <t>NSP IP CONTROL CLASS 3 NODE</t>
  </si>
  <si>
    <t>3HE16012AA</t>
  </si>
  <si>
    <t>NSP CONTROL + VISUALIZATION STARTER FP</t>
  </si>
  <si>
    <t>3HE16013AA</t>
  </si>
  <si>
    <t>NSP PATH CONTROL + OPTIMIZATION FP</t>
  </si>
  <si>
    <t>3HE16020AA</t>
  </si>
  <si>
    <t>NSP MULTILAYER DISC. + VISUALIZATION FP</t>
  </si>
  <si>
    <t>3HE16256AA</t>
  </si>
  <si>
    <t>NSP MULTILAYER CONTROL COORDINATION FP</t>
  </si>
  <si>
    <t>3HENSPTSC</t>
  </si>
  <si>
    <t>NSP TSC Module</t>
  </si>
  <si>
    <t>Aggregation_PE v1 Installation &amp; Commissioning</t>
  </si>
  <si>
    <t xml:space="preserve">Nokia-Agg-New-PE_v1-HW installation incl. Project Management teams, Rollout team, Warehouse rental, site survey, installation, commissioning, Integration, ATP, IPSec Integration and Decommissioning  services </t>
  </si>
  <si>
    <t>Aggregation_PE v2 Installation &amp; Commissioning</t>
  </si>
  <si>
    <t xml:space="preserve">Nokia-Agg-New-PE_v2-HW installation incl. Project Management teams, Rollout team, Warehouse rental, site survey, installation, commissioning, Integration, ATP, IPSec Integration and Decommissioning  services </t>
  </si>
  <si>
    <t>Aggregation_PE v3 Compact Installation &amp; Commissioning</t>
  </si>
  <si>
    <t xml:space="preserve">Nokia-Agg-New-PE_v3-HW installation incl. Project Management teams, Rollout team, Warehouse rental, site survey, installation, commissioning, Integration,  ATP,  IPSec Integration and Decommissioning  services </t>
  </si>
  <si>
    <t>SWAP Aggregation_PE_v1 (Replacement/Upgrade to AGG_v1) Installation &amp; Commissioning</t>
  </si>
  <si>
    <t xml:space="preserve">Nokia Agg-SWAP-PE_v1-HW installation incl. Project Management teams, Rollout team, Warehouse rental,site survey, installation, commissioning, Integration, ATP, IPSec Integration and Decommissioning  services </t>
  </si>
  <si>
    <t>SWAP Aggregation_PE_v2 (Replacement/Upgrade to AGG_v2) Installation &amp; Commissioning</t>
  </si>
  <si>
    <t xml:space="preserve">Nokia Agg-SWAP-PE_v2-HW installation incl. Project Management teams, Rollout team, Warehouse rental, site survey, installation ,commissioning, Integration, ATP, IPSec Integration and Decommissioning  services </t>
  </si>
  <si>
    <t>SWAP Aggregation_PE_v1 (Replacement/Upgrade) Hot SWAP Migration</t>
  </si>
  <si>
    <t xml:space="preserve">Nokia AGG-HOT SWAP-Migration_v1 incl. Automated Migration execution, testing and acceptance services </t>
  </si>
  <si>
    <t>SWAP Aggregation_PE_v2 (Replacement/Upgrade) Hot SWAP Migration</t>
  </si>
  <si>
    <t xml:space="preserve">Nokia AGG-HOT SWAP-Migration_v2 incl. Automated Migration execution, testing and acceptance services </t>
  </si>
  <si>
    <t>SWAP Aggregation (Replacement/Upgrade) Migration (Port by Port)</t>
  </si>
  <si>
    <t>Nokia AGG- SWAP-Port by Port Migration incl. Automated Migration execution, testing and acceptance services</t>
  </si>
  <si>
    <t xml:space="preserve">Nokia AGG-SWAP-Port by Port Migration from multiple nodes to Nokia AGG within the same site </t>
  </si>
  <si>
    <t>Nokia AGG- SWAP-Port by Port Migration incl. Automated Migration execution, testing and acceptance services [from multiple nodes to Nokia AGG within the same site [up to 3 nodes]for maximum of 10 ports]</t>
  </si>
  <si>
    <t>Nokia AGG-SWAP-Port by Port Migration from one existing node to Nokia AGG from a different physical site</t>
  </si>
  <si>
    <t>Nokia AGG-SWAP-Port by Port Migration incl. Automated Migration execution, testing and acceptance services [from one existing node to Nokia AGG from a different physical site[up to 10 ports]]</t>
  </si>
  <si>
    <t>Nokia AGG-SWAP-Port by Port Migration from multiple nodes to Nokia AGG from a different physical site</t>
  </si>
  <si>
    <t>Nokia AGG- SWAP-Port by Port Migration incl. Automated Migration execution, testing and acceptance services [from multiple nodes to Nokia AGG from a different physical site [up to 3 nodes]for maximum of 10 ports]</t>
  </si>
  <si>
    <t>Nokia AGG Capacity Expansion Migration</t>
  </si>
  <si>
    <t>Nokia AGG Capacity Expansion Migration incl. Migration execution, testing and acceptance services per node from existing configuration to the new configuration</t>
  </si>
  <si>
    <t>Nokia PAGG Capacity Expansion Migration</t>
  </si>
  <si>
    <t>Nokia PAGG Capacity Expansion Migration incl. Migration execution, testing and acceptance services per node from existing configuration to the new configuration</t>
  </si>
  <si>
    <t xml:space="preserve">PAGG/SCSG HW Installation &amp; Commissioning </t>
  </si>
  <si>
    <t xml:space="preserve">Nokia-PAGG/SCSG-New-HW installation incl. Project Management teams, Rollout team, Warehouse rental, site survey, installation, commissioning , Integration, ATP, and Decommissioning  services </t>
  </si>
  <si>
    <t xml:space="preserve">SWAP PAGG/SCSG HW Installation &amp; Commissioning </t>
  </si>
  <si>
    <t xml:space="preserve">Nokia PAGG/SCSG-SWAP-HW installation incl. Project Management teams, Rollout team, Warehouse rental, site survey, installation, commissioning, Integration, ATP, and Decommissioning  services </t>
  </si>
  <si>
    <t>SWAP PAGG/SCSG HOT SWAP Migration</t>
  </si>
  <si>
    <t xml:space="preserve">Nokia PAGG-HOT SWAP Migration includes Automated Migration execution, testing and acceptance services </t>
  </si>
  <si>
    <t>SWAP PAGG/SCSG Port by Port Migration</t>
  </si>
  <si>
    <t xml:space="preserve">Nokia PAGG-SWAP-Port by Port Migration includes Automated Migration execution, testing and acceptance services </t>
  </si>
  <si>
    <t>PAGG/SCSG HOT SWAP Migration</t>
  </si>
  <si>
    <t>Nokia PAGG-HOT SWAP Migration includes Automated Migration execution, testing and acceptance services (limited to 8 SR7B nodes dismantled from AGG layer)</t>
  </si>
  <si>
    <t>PAGG/SCSG SWAP  Port by Port Migration</t>
  </si>
  <si>
    <t>Nokia PAGG- SWAP Port by Port Migration includes Automated Migration execution, testing and acceptance services (limited to 8 SR7B nodes dismantled from AGG layer)</t>
  </si>
  <si>
    <t>CSG_v1 HW Installation &amp; Commissioning</t>
  </si>
  <si>
    <t xml:space="preserve">Nokia-CSG-New_v1-HW-Installation  includes Project Management teams,Rollout team,Warehouse rental, site survey, installation, comissioning, Integration and Decomissioning services </t>
  </si>
  <si>
    <t>CSG_v1 Migration</t>
  </si>
  <si>
    <t xml:space="preserve">Nokia-CSG-New_v1-Migration includes Migration execution ,testing and acceptance services </t>
  </si>
  <si>
    <t>CSG_v2 HW Installation &amp; Commissioning</t>
  </si>
  <si>
    <t xml:space="preserve">Nokia-CSG-New_v2-HW-Installation includes Project Management teams,Rollout team,Warehouse rental, site survey, installation, comissioning, Integration and Decomissioning services </t>
  </si>
  <si>
    <t>CSG_v2 Migration</t>
  </si>
  <si>
    <t xml:space="preserve">Nokia-CSG-New-v2-Migration  includes Migration execution ,testing and acceptance services </t>
  </si>
  <si>
    <t>CSG_v3 HW Installation &amp; Commissioning</t>
  </si>
  <si>
    <t xml:space="preserve">Nokia-CSG-New_v3-HW-Installation includes Project Management teams,Rollout team,Warehouse rental, site survey, installation, comissioning, Integration and Decomissioning services </t>
  </si>
  <si>
    <t>CSG_v3 Migration</t>
  </si>
  <si>
    <t xml:space="preserve">Nokia-CSG-New_v3-Migration  includes Migration execution ,testing and acceptance services </t>
  </si>
  <si>
    <t>3rd Party  CSG Integration</t>
  </si>
  <si>
    <t>3rd party CSG HW-Installation includes Project Management teams,Rollout team,Warehouse rental, site survey, installation, comissioning, Integration and Decomissioning services</t>
  </si>
  <si>
    <t>3rd Party CSG Migration</t>
  </si>
  <si>
    <t xml:space="preserve">3rd party CSG-Remote migration includes Migration execution ,testing and acceptance services </t>
  </si>
  <si>
    <t xml:space="preserve">CSG Link Shifting </t>
  </si>
  <si>
    <t>CSG Link Shiting includes conneting the uplink as single homed, shifting the uplink from one PAGG to another</t>
  </si>
  <si>
    <t>Rehoming Services</t>
  </si>
  <si>
    <t>Rehoming service for access node from one AGG/PRE-AGG including either one of the below services:
1- Cell Site Gateway
2- Enterprise Access switch
3- RTN Link
4- OSN Link
5- 4 links for BTS rehoming 
The service includes fiber patching and VPN service rehoming, excluding ISP/OSP work, service validation by customer end or drive test and Special Fees for permits at sites.</t>
  </si>
  <si>
    <t>Mobile Migration per Cisco CSG</t>
  </si>
  <si>
    <t>Mobile Migration incl. Remote migration execution ,testing and acceptance services per Cisco CSG</t>
  </si>
  <si>
    <t>BDS Migration</t>
  </si>
  <si>
    <t>Nokia-BDS-Migration incl. Migration execution ,testing and acceptance services per node</t>
  </si>
  <si>
    <t>Card Expansion Installation&amp;Integration</t>
  </si>
  <si>
    <t>Nokia-Card Expansion  incl. Installation &amp; Integration and acceptance services</t>
  </si>
  <si>
    <t xml:space="preserve">CSG_ISP_service per 100 meters </t>
  </si>
  <si>
    <t>ISP services for indoor access router deployments per 100 meters</t>
  </si>
  <si>
    <t>Testbed Service</t>
  </si>
  <si>
    <t xml:space="preserve">POC service including POC Desing ,POC implementation ,POC execution </t>
  </si>
  <si>
    <t>Nokia-Design-Service</t>
  </si>
  <si>
    <t>Design includes Customer Workshop,HLD,LLD,Acceptance Test book,SAM design,Configuration templates,Migration strategy,MOP templates.</t>
  </si>
  <si>
    <t>Deepfield Platform design, installation and configuration</t>
  </si>
  <si>
    <t>Deepfield Platform design, installation and configuration (does not include HW installation)</t>
  </si>
  <si>
    <t>Professional Services package for Deepfield Platform customization</t>
  </si>
  <si>
    <t>Professional Services package for Deepfield Platform customization (10-days )</t>
  </si>
  <si>
    <t>Nokia-Training</t>
  </si>
  <si>
    <t>Training sessions</t>
  </si>
  <si>
    <t>1 sprint</t>
  </si>
  <si>
    <t>One sprint includes one scrum team for 6 weeks (working on one Use Case)</t>
  </si>
  <si>
    <t>8 sprints</t>
  </si>
  <si>
    <t>Eight sprints includes one scrum team</t>
  </si>
  <si>
    <t>16 sprints</t>
  </si>
  <si>
    <t>Sixteen sprint includes two scrum teams working in parallel</t>
  </si>
  <si>
    <t>24 sprints</t>
  </si>
  <si>
    <t xml:space="preserve">Twenty-four sprint includes 3 scrum teams working in parallel </t>
  </si>
  <si>
    <t>LSS yearly fee_ Year 1</t>
  </si>
  <si>
    <t>The LSS covers the work to recertify the automation use cases with the new NSP and/or NE versions
2.Audit and recertification require access to customer labs and NE’s and customer participation in the acceptance test – the same as when the AP was first delivered</t>
  </si>
  <si>
    <t>LSS Yearly fee_Year 2</t>
  </si>
  <si>
    <t xml:space="preserve">The LSS covers the work to recertify the automation use cases with the new NSP and/or NE versions
2.Audit and recertification require access to customer labs and NE’s and customer participation in the acceptance test – the same as when the AP was first delivered
</t>
  </si>
  <si>
    <t>Nokia-OS-Upgrade-AGG-Service</t>
  </si>
  <si>
    <t>Upgrade the AGG node from N Release to N+1 Release</t>
  </si>
  <si>
    <t>Nokia-OS-Upgrade-PAGG/SCSG-Service</t>
  </si>
  <si>
    <t>Upgrade the PAGG node from N Release to N+1 Release</t>
  </si>
  <si>
    <t>Nokia-OS-Upgrade-CSG-Service</t>
  </si>
  <si>
    <t>Upgrade the CSG node from N Release to N+1 Release</t>
  </si>
  <si>
    <t>Nokia-OS-Aggregation SW Upgrade</t>
  </si>
  <si>
    <t>Major software update from N Release to N+1 Release for the existing AGG</t>
  </si>
  <si>
    <t>Nokia-OS-PAGG/SCSG SW Upgrade</t>
  </si>
  <si>
    <t>Major software update from N Release to N+1 Release for the existing PAGG</t>
  </si>
  <si>
    <t>Nokia-OS-CSG SW Upgrade</t>
  </si>
  <si>
    <t>Major software update from N Release to N+1 Release for the existing CSG</t>
  </si>
  <si>
    <t>Nokia NMS_upgrade service</t>
  </si>
  <si>
    <t>NMS_upgrade_year1 including MOP preparation, staging, execution and acceptance test</t>
  </si>
  <si>
    <t>Nokia NMS_upgrade SRS</t>
  </si>
  <si>
    <t>Nokia Software Release Subscription</t>
  </si>
  <si>
    <t>Nokia-3rd-level-support-Y1_AGG/Access_rollout</t>
  </si>
  <si>
    <t>Maintenance service per Year_1  for AGG/Access_rollout</t>
  </si>
  <si>
    <t>Nokia-3rd-level-support-Y2_AGG/Access_rollout</t>
  </si>
  <si>
    <t>Maintenance service per Year_2  for AGG/Access_rollout</t>
  </si>
  <si>
    <t>Nokia-3rd-level-support-Y3_AGG/Access_rollout</t>
  </si>
  <si>
    <t>Maintenance service per Year_3  for AGG/Access_rollout</t>
  </si>
  <si>
    <t>Resident Engineer</t>
  </si>
  <si>
    <t>Tier 1 service(12 months)</t>
  </si>
  <si>
    <t>Tier 2 service(12 months)</t>
  </si>
  <si>
    <t>FLM service(12 months)</t>
  </si>
  <si>
    <t>1AB407560001</t>
  </si>
  <si>
    <t>Optical Fiber cables (3m)</t>
  </si>
  <si>
    <t>1AB377380001</t>
  </si>
  <si>
    <t>Optical Fiber cables (5m)</t>
  </si>
  <si>
    <t>1AB377380003</t>
  </si>
  <si>
    <t>Optical Fiber cables (7m)</t>
  </si>
  <si>
    <t>1AB377380006</t>
  </si>
  <si>
    <t>Optical Fiber cables (10m)</t>
  </si>
  <si>
    <t>1AB407580013</t>
  </si>
  <si>
    <t>Optical Fiber cables (20m)</t>
  </si>
  <si>
    <t>1AD147550001</t>
  </si>
  <si>
    <t>TRU - Power    (Considered for Controller sites)</t>
  </si>
  <si>
    <t>1AD147550002</t>
  </si>
  <si>
    <t>100 Amps Circuit Breakers     (Considered for controller sites)</t>
  </si>
  <si>
    <t>3BK08959BA</t>
  </si>
  <si>
    <t>Power Cable 1x35 Black (15 meters per site)</t>
  </si>
  <si>
    <t>3BK08958BA</t>
  </si>
  <si>
    <t>Power Cable 1x35 Blue (15 meters per site)</t>
  </si>
  <si>
    <t>3BK08960BA</t>
  </si>
  <si>
    <t>Power Cable 1x35 Yellow/Green (15 meters per site)</t>
  </si>
  <si>
    <t>Nokia-Power-Upgrade- Single Battery Cell Addition- Hardware (150 Ah)</t>
  </si>
  <si>
    <t>Power upgrade battery kit for Pre-Aggr routers (150 Ah) 12V Cell</t>
  </si>
  <si>
    <t>Nokia-Power-Upgrade- Single Battery Cell Addition- Hardware</t>
  </si>
  <si>
    <t>Nokia-Power-Upgrade- Single Battery Cell Addition- Hardware (170 Ah)</t>
  </si>
  <si>
    <t>Power upgrade battery kit for Pre-Aggr routers (170 Ah) 12V Cell</t>
  </si>
  <si>
    <t>Nokia-Power-Upgrade- Single Rectifier Module Addition- Hardware-PowerOne</t>
  </si>
  <si>
    <t>Power upgrade rectifier kit for Pre-Aggr routers (Brand: Powerone) Single Module - powerOne 1600W</t>
  </si>
  <si>
    <t>Nokia-Power-Upgrade- Single Rectifier Module Addition- Hardware-Delta</t>
  </si>
  <si>
    <t>Power upgrade rectifier kit for Pre-Aggr routers (Brand: Delta) : Single Module - Delta 2000W</t>
  </si>
  <si>
    <t>Nokia-Rack-42U</t>
  </si>
  <si>
    <t>Free Standing Racks -  42U - 800mm(W) X 800mm(D) with FAN Unit, perforated front and back door, filter layer on perforated surface, Vertical cable manager on front and back sides of the rails, Lacing bar on either sides</t>
  </si>
  <si>
    <t>Nokia-Rack-19U</t>
  </si>
  <si>
    <t>19"rack , 29U 600*600</t>
  </si>
  <si>
    <t>Nokia-Rack-12U</t>
  </si>
  <si>
    <t>12U ergoRack with Glass Front Door, openable side panels from inside or outside 600x600 mm (organiser, cable ring, gorunding bar)</t>
  </si>
  <si>
    <t>Nokia-Rack-6U</t>
  </si>
  <si>
    <t>Wall Mount - 6U - 600mm(W) X 600mm(D)</t>
  </si>
  <si>
    <t>ODF-patch-panels-144</t>
  </si>
  <si>
    <t>144 PORT 4U (144 pcs Simplex SC/APC adaptors, 144 pcs SC/APC Pigtail, 144 pcs splice protector sleeve, 12 pcs splice tray)</t>
  </si>
  <si>
    <t>ODF Patch panels (96)</t>
  </si>
  <si>
    <t>96 PORT 4U (96 pcs Simplex SC/APC adaptors, 96 pcs SC/APC Pigtail, 96 pcs splice protector sleeve, 8 pcs splice tray)</t>
  </si>
  <si>
    <t>ODF Patch panels (72)</t>
  </si>
  <si>
    <t>72 PORT 4U (72 pcs Simplex SC/APC adaptors, 72 pcs SC/APC Pigtail, 72 pcs splice protector sleeve)</t>
  </si>
  <si>
    <t>ODF Patch panels (48)</t>
  </si>
  <si>
    <t>48 PORT 2U 48 pcs Simplex SC/APC adaptors, 48 pcs SC/APC Pigtail, 48 pcs splice protector sleeve, 4 pcs splice tray)</t>
  </si>
  <si>
    <t>ODF Patch panels (24)</t>
  </si>
  <si>
    <t>24 PORT 1U (24 pcs Simplex SC/APC adaptors, 24 pcs SC/APC Pigtail, 24 pcs splice protector sleeve, 2 pcs splice tray)</t>
  </si>
  <si>
    <t>ODF Patch panels (12)</t>
  </si>
  <si>
    <t>12 PORT 1U (12 pcs Simplex SC/APC adaptors, 12 pcs SC/APC Pigtail,12 pcs splice protector sleeve, 1 pcs splice tray)</t>
  </si>
  <si>
    <t>Vertiv/Delta Indoor Power Cabinet 12KW</t>
  </si>
  <si>
    <t>Vertiv Indoor Power Cabinet 12KW  (including the N+1 redundancy module) upgradable to 20KW applicable warranty of 5 years</t>
  </si>
  <si>
    <t>Installation &amp; commissioning of Indoor Power Cabinet 12KW</t>
  </si>
  <si>
    <t>Installation &amp; commissioning of Indoor Power Cabinet 12KW (including the N+1 redundancy module) upgradable to 20KW</t>
  </si>
  <si>
    <t>Dismantle old Rectifier - including the packing and transfer to warehouse</t>
  </si>
  <si>
    <t>Supply outdoor Power Cabinet 12KW</t>
  </si>
  <si>
    <t>Supply outdoor Power Cabinet 12KW (including the N+1 redundancy module) upgradable to 20KW, applicable warranty of 5 years</t>
  </si>
  <si>
    <t>Temporary DC System Installation</t>
  </si>
  <si>
    <t>Temporary DC System Installation to run dual feed equipment during DC Swap Activity (Hot Swap) (Vertiv Brand)</t>
  </si>
  <si>
    <t>Vertiv/Delta Rectifier module compatible with the Supplied DC System</t>
  </si>
  <si>
    <t>Supply of Vertic Rectifier module compatible with the Supplied DC System, 3000W</t>
  </si>
  <si>
    <t>Schneider/Nader Output Breakers (Standard-Type) - 100A</t>
  </si>
  <si>
    <t>Supply of Schneider/Nader Output Breakers (Standard-Type) - 100A</t>
  </si>
  <si>
    <t>Schneider/Nader Output Breakers (Standard-Type) - 63A</t>
  </si>
  <si>
    <t>Supply of Schneider/Nader Output Breakers (Standard-Type) - 63A</t>
  </si>
  <si>
    <t>Schneider/Nader Output Breakers (Standard-Type) - 40A</t>
  </si>
  <si>
    <t>Supply of Schneider/Nader Output Breakers (Standard-Type) - 40A</t>
  </si>
  <si>
    <t>CBI/Nader Output Breakers (Slim-Type) - 100A</t>
  </si>
  <si>
    <t xml:space="preserve">Supply of CBI/Nader Output Breakers (Slim-Type) - 100A ; 2 pole with copper busbar </t>
  </si>
  <si>
    <t>CBI/Nader Output Breakers (Slim-Type) - 63A</t>
  </si>
  <si>
    <t xml:space="preserve">Supply of CBI/Nader Output Breakers (Slim-Type) - 63A; 1 pole </t>
  </si>
  <si>
    <t>CBI/Nader Output Breakers (Slim-Type) - 32A</t>
  </si>
  <si>
    <t xml:space="preserve">Supply of CBI/Nader Output Breakers (Slim-Type) - 32A; 1 pole </t>
  </si>
  <si>
    <t>Minor Upgrade of existing power system. ( Busbar - Cabling, etc )</t>
  </si>
  <si>
    <t>Minor Upgrade of existing power system. ( Busbar, 
-Power cable and power lugs (green, blue, red)
-power upgrade circuit breaker (100A) )</t>
  </si>
  <si>
    <t xml:space="preserve">Rectifier DPR2000C ( Delta ) </t>
  </si>
  <si>
    <t>Vertiv/Delta Rectifier Power Module for upgrades -2000W -</t>
  </si>
  <si>
    <t>Vertiv Rectifier Power Module for upgrades -2000W -</t>
  </si>
  <si>
    <t>Power_PowerCables and Lugs</t>
  </si>
  <si>
    <t>Power upgrade cable and lugs kit for Core/AGGR/PAGG/Access routers (green, blue and red)</t>
  </si>
  <si>
    <t>Line</t>
  </si>
  <si>
    <t>Type</t>
  </si>
  <si>
    <t>Item/Job</t>
  </si>
  <si>
    <t xml:space="preserve">Nokia code </t>
  </si>
  <si>
    <t>Supplier Item</t>
  </si>
  <si>
    <t>UOM</t>
  </si>
  <si>
    <t>Price</t>
  </si>
  <si>
    <t>Goods</t>
  </si>
  <si>
    <t>AGG400G MDAs BNDL incl:(1)3HE12515AA MDAs SRs 4pt QSFP-DD+4pt QSFP28 (2)3HE15212AA QSFP56-DD400G LR8 10Km 0/70C-each_w_3HE00400PP-RTU Lic.for 400G port (4)3HE10550AA QSFP28-100GBASE-LR4 ROHS6/6 0/70C-each_w_3HE00100PP-RTU Lic.for 100G port</t>
  </si>
  <si>
    <t>Each</t>
  </si>
  <si>
    <t>SFP+ 10GE LR - LC ROHS6/6-40/85C - each with 3HE00100PP - RTU License for 10G port</t>
  </si>
  <si>
    <t>POC service including POC Desing ,POC implementation ,POC execution</t>
  </si>
  <si>
    <t>Nokia-CSG-New_v3-HW-Installation includes Project Management teams,Rollout team,Warehouse rental, site survey, installation, comissioning, Integration and Decomissioning services</t>
  </si>
  <si>
    <t>Nokia-CSG-New_v3-Migration  includes Migration execution ,testing and acceptance services</t>
  </si>
  <si>
    <t>Nokia AGG-HOT SWAP-Migration_v1 incl. Automated Migration execution, testing and acceptance services</t>
  </si>
  <si>
    <t>"Minor Upgrade of existing power system. ( Busbar,</t>
  </si>
  <si>
    <t>SFP28 - 25GE ER - LC ROHS6/6 -40/85C - each with 3HE00100PP - RTU License for 25G port</t>
  </si>
  <si>
    <t>Supply of CBI/Nader Output Breakers (Slim-Type) - 100A ; 2 pole with copper busbar</t>
  </si>
  <si>
    <t>Upgrade the BNG node from Release 16 to Release 22</t>
  </si>
  <si>
    <t>SFP - GIGE SX - LC ROHS 6/6 DDM -40/85C - each with 3HE00100PP - RTU License for GIGE port</t>
  </si>
  <si>
    <t>SR2s-AGGv3 BNDL incl:(1)3HE14032AA BNDL - 7750 SR-2s LVDC (1)3HE12519AA AIR FILTER KIT (1)3HE14029AA ACC - 7750 SR-s MDA-s IMPEDANCE PANEL (2)3HE12379AA XCM - 7750 SR-s XCM-2s (2)3HE12510BA IOM-s - SR-s IOM-s 1.6T -ER</t>
  </si>
  <si>
    <t>Nokia-Agg-New-PE_v3-HW installation incl. Project Management teams, Rollout team, Warehouse rental, site survey, installation, commissioning, Integration,  ATP,  IPSec Integration and Decommissioning  services</t>
  </si>
  <si>
    <t>"Rehoming service for access node from 1 AGG/PAGG incl. 1 of:</t>
  </si>
  <si>
    <t>Nokia AGG-HOT SWAP-Migration_v2 incl. Automated Migration execution, testing and acceptance services</t>
  </si>
  <si>
    <t>QSFP28 - 100GBase-ER4Lite RoHS6/6 0/70C - each with 3HE00100PP - RTU License for 100G port</t>
  </si>
  <si>
    <t>3HE10161BA Nokia Software Release Subscription</t>
  </si>
  <si>
    <t>"QSFP28 bundle exclusive for SR-12e Upgrade, including:</t>
  </si>
  <si>
    <t>"7750SR-7/12e 25G MDA-e-XP BNDL incl:</t>
  </si>
  <si>
    <t>Deliver custom software artefacts of twenty-four sprints</t>
  </si>
  <si>
    <t>Nokia-CSG-New_v1-Migration includes Migration execution ,testing and acceptance services</t>
  </si>
  <si>
    <t>Supply of CBI/Nader Output Breakers (Slim-Type) - 32A; 1 pole</t>
  </si>
  <si>
    <t>"7210 SAS-Sx 10/100G BNDL incl:</t>
  </si>
  <si>
    <t>QSFP-DD ZR+  each with 3HE00100PP - RTU License for 400G port</t>
  </si>
  <si>
    <t>SFP - GIGE BASE-T RJ45 R6/6 DDM -40/85C - each with 3HE00100PP - RTU License for GIGE BASE-T RJ45 port</t>
  </si>
  <si>
    <t>Sixteen sprint includes two scrum teams working parallel for a year (Each scrum team can deliver max of 8 sprints per year)</t>
  </si>
  <si>
    <t>SFP - GIGE LX - LC ROHS 6/6 DDM -40/85C - each with 3HE00100PP - RTU License for GIGE port</t>
  </si>
  <si>
    <t>"SR7PGG 400G UPG BNDL</t>
  </si>
  <si>
    <t>"IXR-e CSG-low BNDL</t>
  </si>
  <si>
    <t>"7250 IXR-R6 SGCG 25G MDA BNDL incl:</t>
  </si>
  <si>
    <t>Nokia-Agg-New-PE_v2-HW installation incl. Project Management teams, Rollout team, Warehouse rental, site survey, installation, commissioning, Integration, ATP, IPSec Integration and Decommissioning  services</t>
  </si>
  <si>
    <t>QSFP56-DD - 400G LR8 10Km 0/70C - each with 3HE00100PP - RTU License for 400G port</t>
  </si>
  <si>
    <t>"Nokia 1830-ONE Bundle including:</t>
  </si>
  <si>
    <t>"IXR-E CSG without 100G BNDL:</t>
  </si>
  <si>
    <t>QSFP56-DD - 400G SR8 100m 0/70C (MPO-16)</t>
  </si>
  <si>
    <t>"IXR-R6-Low2</t>
  </si>
  <si>
    <t>"IXR-R6 400G</t>
  </si>
  <si>
    <t>SFP+ 10GE ER - LC ROHS6/6-40/85C - each with 3HE00100PP - RTU License for 10G port</t>
  </si>
  <si>
    <t>AGG100G/25G MDAs BNDL_v1 incl:(1)3HE12513AA MDAs 16pt SFP-DD MACsec+4pt QSFP28 (4)QSFP28-100GBASE-LR4 ROHS6/6 0/70C_w_RTU Lic.(8)SFP28-25GE LR-LC ROHS6/6-40/85C_w_RTU Lic.(4)SFP28-25GE ER-LC ROHS6/6-40/85C_w_RTU Lic.</t>
  </si>
  <si>
    <t>Rectifier DPR2000C ( Delta )</t>
  </si>
  <si>
    <t>Supply of CBI/Nader Output Breakers (Slim-Type) - 63A; 1 pole</t>
  </si>
  <si>
    <t>Nokia-PAGG/SCSG-New-HW installation incl. Project Management teams, Rollout team, Warehouse rental, site survey, installation, commissioning , Integration, ATP, and Decommissioning  services</t>
  </si>
  <si>
    <t>Nokia-Agg-New-PE_v1-HW installation incl. Project Management teams, Rollout team, Warehouse rental, site survey, installation, commissioning, Integration, ATP, IPSec Integration and Decommissioning  services</t>
  </si>
  <si>
    <t>AGG400G MDAs BNDL incl: (1)3HE12515AA MDAs SRs 4pt QSFP-DD+4pt QSFP28 (4)3HE15212AA QSFP56DD-400G LR8 10Km 0/70C-each_w_3HE00400PP-RTU Lic.for 400G port (2)3HE10550AA QSFP28-100GBASE-LR4 ROHS6/6 0/70C-each_w_3HE00100PP-RTU Lic.for 100G port</t>
  </si>
  <si>
    <t>Deliver custom software artefacts of sixteen sprints</t>
  </si>
  <si>
    <t>SFP+ 10GE ZR - LC ROHS6/6 -40/85C - each with 3HE00100PP - RTU License for 10G port</t>
  </si>
  <si>
    <t>Implementation of VAS for subscriber based firewall enablement for 1 AGGR pair</t>
  </si>
  <si>
    <t>Nokia PAGG-SWAP-Port by Port Migration includes Automated Migration execution, testing and acceptance services</t>
  </si>
  <si>
    <t>"SR2s Testbed BNDL(Limited to 1)</t>
  </si>
  <si>
    <t>MDA-e-XP - 7750 SR 6-pt QSFP-DD</t>
  </si>
  <si>
    <t>QSFP28 - 100GBASE-LR4 ROHS6/6 0/70C - each with 3HE00100PP - RTU License for 100G port</t>
  </si>
  <si>
    <t>TPoP Smart SFP, E1 120 Ohm balanced, RJ45 - each with 3HE00100PP - RTU License for E1 port</t>
  </si>
  <si>
    <t>"7750SR7/12e 100G MDA-e-XP BNDL incl:</t>
  </si>
  <si>
    <t>SFP - GIGE ZX - LC ROHS 6/6 DDM -40/85C - each with 3HE00100PP - RTU License for GIGE port</t>
  </si>
  <si>
    <t>CSoP Smart SFP, 15 km STM-1 over GbE - each with 3HE00100PP - RTU License for STM1 port</t>
  </si>
  <si>
    <t>Nokia Agg-SWAP-PE_v1-HW installation incl. Project Management teams, Rollout team, Warehouse rental,site survey, installation, commissioning, Integration, ATP, IPSec Integration and Decommissioning  services</t>
  </si>
  <si>
    <t>"(1)3HE11282AA 1P 100GE QSFP28 +6P 10GE SFP+ MDA</t>
  </si>
  <si>
    <t>"IXR-E CSG100G BNDL:</t>
  </si>
  <si>
    <t>"LSS covers 1.the work to recertify automation use cases with the new NSP and/or NE versions</t>
  </si>
  <si>
    <t>Deliver custom software artefacts of eight sprints</t>
  </si>
  <si>
    <t>SFP - GIGE EX - LC ROHS 6/6 DDM -40/85C - each with 3HE00100PP - RTU License for GIGE port</t>
  </si>
  <si>
    <t>Eight sprints includes one scrum team for working for a year (Each Scrum team can deliver max of 8 sprints per year)</t>
  </si>
  <si>
    <t>SR7s-AGGv2 BNDL incl:(1)3HE16196AA BNDL 7750SR7s CPM2-7s CNTL RED DC PWR (1)3HE12328AA PWR SHELF ACC KIT LVDC (1)3HE12460AA AIR FILTER DOOR KIT (3)3HE12378AA XCM IMP PNL (2)3HE11305AA XCM7750 SRs XCM7s (2)3HE12510BA IOMs-SRs IOMs 1.6T-ER</t>
  </si>
  <si>
    <t>Nokia Agg-SWAP-PE_v2-HW installation incl. Project Management teams, Rollout team, Warehouse rental, site survey, installation ,commissioning, Integration, ATP, IPSec Integration and Decommissioning  services</t>
  </si>
  <si>
    <t>AGG ESA Bundle for Ipsec including:(1) 3HE15841AA  ESA - 7750 SR ESA 100G DC (2) 3HE10551AA  QSFP28 - 100GBASE-SR4 ROHS6/6 0/70C - each with 3HE00100PP -RTU License for 100G port</t>
  </si>
  <si>
    <t>QSFP28 - 100G ZR4 0/70C - each with 3HE00100PP - RTU License for 100G port</t>
  </si>
  <si>
    <t>SR - OS - ZTP 7750/7950 R22.x LICENSE</t>
  </si>
  <si>
    <t>"7250 IXR-R6 25G MDA BNDL incl:</t>
  </si>
  <si>
    <t>Nokia PAGG-HOT SWAP Migration includes Automated Migration execution, testing and acceptance services</t>
  </si>
  <si>
    <t>Nokia-CSG-New_v1-HW-Installation  includes Project Management teams,Rollout team,Warehouse rental, site survey, installation, comissioning, Integration and Decomissioning services</t>
  </si>
  <si>
    <t>"SR7s Testbed BNDL ( Limited to 2)</t>
  </si>
  <si>
    <t>SR7s-AGGv1 BNDL incl:(1)3HE16196AA_BNDL 7750SR7s CPM2-7s CNTL RED DC PWR (1)3HE12328AA_PWR SHELF ACC KIT LVDC (1)3HE12460AA_AIR FILTER DOOR KIT (3)3HE12378AA_XCM IMP PNL (2)3HE11305AA _XCM7750 SRs XCM7s (2)3HE14027BA _IOMs-SRs IOMs 3.0TER</t>
  </si>
  <si>
    <t>Nokia-CSG-New_v2-HW-Installation includes Project Management teams,Rollout team,Warehouse rental, site survey, installation, comissioning, Integration and Decomissioning services</t>
  </si>
  <si>
    <t>AGG 100G MDA-s BNDL incl:(1) 3HE12511AA  MDA-s - SR-s 18-pt QSFP28 (4) 3HE10550AA  QSFP28 - 100GBASE-LR4 ROHS6/6 0/70C - each with 3HE00100PP -RTU License for 100G port</t>
  </si>
  <si>
    <t>"7250 IXR-R6 High 10G BNDL incl:</t>
  </si>
  <si>
    <t>"7750SR7/12e AGG400G IOM5+MDA-e-XP card BNDL incl:</t>
  </si>
  <si>
    <t>Twenty-four sprint includes 3 scrum teams working in parallel for one year (Each Scrum team can deliver max of 8 sprints per year)</t>
  </si>
  <si>
    <t>"7250 IXR-R6 400G upgrade Bundle</t>
  </si>
  <si>
    <t>"IXR-R6-Low1</t>
  </si>
  <si>
    <t>QSFP28 - 100GBASE-SR4 ROHS6/6 0/70C - each with 3HE00100PP - RTU License for 100G port</t>
  </si>
  <si>
    <t>"Amplifier Bundle including:</t>
  </si>
  <si>
    <t>QSFP-DD ZR each with 3HE00100PP - RTU License for 400G port</t>
  </si>
  <si>
    <t>AGG 100G MDA-s BNDL incl:(1) 3HE12511AA  MDA-s - SR-s 18-pt QSFP28 (12) 3HE10550AA  QSFP28 - 100GBASE-LR4 ROHS6/6 0/70C - each with 3HE00100PP - RTU Lic. for 100G port</t>
  </si>
  <si>
    <t>Nokia PAGG/SCSG-SWAP-HW installation incl. Project Management teams, Rollout team, Warehouse rental, site survey, installation, commissioning, Integration, ATP, and Decommissioning  services</t>
  </si>
  <si>
    <t>3rd party CSG-Remote migration includes Migration execution ,testing and acceptance services</t>
  </si>
  <si>
    <t>Deliver custom software artefacts of one sprint</t>
  </si>
  <si>
    <t>SFP28  25GE LR - LC ROHS6/6 -40/85C - each with 3HE00100PP - RTU License for 25G port</t>
  </si>
  <si>
    <t>Design Update on BNG for VAS (subcriber based firewall enablement), Design validation and lab testing</t>
  </si>
  <si>
    <t>RTU - SROS ADV DC GW and Svc Chain</t>
  </si>
  <si>
    <t>"7250 IXR-R6 Low 10G BNDL incl:</t>
  </si>
  <si>
    <t>IOM - 7750 SR IOM5-e - ER</t>
  </si>
  <si>
    <t>NSP LP BNDL incl</t>
  </si>
  <si>
    <t>Nokia-CSG-New-v2-Migration  includes Migration execution ,testing and acceptance services</t>
  </si>
  <si>
    <t>Vendor's Code</t>
  </si>
  <si>
    <t>Unit Description</t>
  </si>
  <si>
    <t>Unit Price</t>
  </si>
  <si>
    <t>Du Item Code</t>
  </si>
  <si>
    <t xml:space="preserve">AGG 100G/25G MDA-s Bundle_v1 including:
(1) 3HE12513AA  MDA-s - 16pt SFP-DD MACsec + 4pt QSFP28 
(4) 3HE10550AA  QSFP28 - 100GBASE-LR4 ROHS6/6 0/70C - each with 3HE00100PP - RTU License for 100G port 
(8) 3HE14835AA SFP28  25GE LR - LC ROHS6/6 -40/85C - each with 3HE00025PP - RTU License for 25G port 
(4) 3HE15377AA   SFP28 - 25GE ER - LC ROHS6/6 -40/85C - each with 3HE00100PP - RTU License for 25G port </t>
  </si>
  <si>
    <t>7750 SR-7/12e 25G MDA-e-XP Bundle including:
(1) 3HE15151AA  MDA-e-XP 16pt 10/25G SFP28 + 2pt QSFP28
(6) 3HE10550AA  QSFP28 - 100GBASE-LR4 ROHS6/6 0/70C - each with 3HE00100PP - RTU License for 100G port 
(8) 3HE14835AA  SFP28  25GE LR - LC ROHS6/6 -40/85C - each with 3HE00100PP - RTU License for 25G port
(4) 3HE15377AA  SFP28 - 25GE ER - LC ROHS6/6 -40/85C - each with 3HE00100PP - RTU License for 25G port</t>
  </si>
  <si>
    <t>7250 IXR-R6 SCSG-High 400G Base Bundle:
(1) 3HE16708AA 7250 IXR-R6 Chassis Bundle
(1) 3HE16706AA  SYS - 7250-IXR-R6x Fan Tray
(2) 3HE16704AA  CPM - 7250 IXR-R6x/xp CPIOM
(1) 3HE16738AA  ACC - MDA Impedance Panel (R6x)
(2) 3HE16717AA  MDA - 1 x QSFP-DD + 1 x QSFP28 (R6x)
(2) 3HE15212AA  QSFP56-DD - 400G LR8 10Km 0/70C - each with 3HE00100PP - RTU License for 400G port 
(1) 3HE16712AA  MDA - 15 x SFP28/SFP+ + 3 x SFP+ MDA
(3) 3HE14835AA  SFP28  25GE LR - LC ROHS6/6 -40/85C - each with 3HE00100PP - RTU License for 25G port
(2) 3HE15377AA. SFP28 - 25GE ER - LC ROHS6/6 -40/85C - each with 3HE00100PP - RTU License for 25G port
(2) 3HE16713AA MDA - 20 x SFP+ (R6x)
(16) 3HE09327AA. SFP+ 10GE LR - LC ROHS6/6-40/85C - each with 3HE00100PP - RTU License for 10G port
(4) 3HE09328AA. SFP+ 10GE ER - LC ROHS6/6-40/85C - each with 3HE00100PP - RTU License for 10G port
(2) 3HE09329AA  SFP+ 10GE ZR - LC ROHS6/6 -40/85C - each with 3HE00100PP - RTU License for 10G port</t>
  </si>
  <si>
    <t xml:space="preserve">7250 IXR-R6 SCSG-Low1 Bundle including:
(1)  7250 IXR-R6 Chassis Bundle
(1) 3HE11283AA  7250 IXR-R6 CPIOM
(4) 3HE11282AA. 1P 100GE QSFP28 +6P 10GE SFP+ MDA
(2) 3HE12523AA. 6P 10GE SFP+ + 4P 25GE SFP28 MDA
(4) 3HE10550AA QSFP28 - 100GBASE-LR4 ROHS6/6 0/70C - each with 3HE00100PP - RTU License for 100G port 
(3) 3HE14835AA. SFP28  25GE LR - LC ROHS6/6 -40/85C - each with 3HE00100PP - RTU License for 25G port 
(2) 3HE15377AA. SFP28 - 25GE ER - LC ROHS6/6 -40/85C - each with 3HE00100PP - RTU License for 25G port 
(15) 3HE09327AA. SFP+ 10GE LR - LC ROHS6/6-40/85C - each with 3HE00100PP - RTU License for 10G port
(3) 3HE09328AA 	SFP+ 10GE ER - LC ROHS6/6-40/85C - each with 3HE00100PP - RTU License for 10G port 
(2) 3HE09329AA SFP+ 10GE ZR - LC ROHS6/6 -40/85C - each with 3HE00100PP - RTU License for 10G port </t>
  </si>
  <si>
    <t xml:space="preserve">7250 IXR-R6 SCSG-Low2 Bundle including:
(1) 7250 IXR-R6 Chassis Bundle
(1) 3HE11283AA  7250 IXR-R6 CPIOM
(2) 3HE11282AA. 1P 100GE QSFP28 +6P 10GE SFP+ MDA
(2) 3HE11280AA  10P 10GE SFP+ MDA
(2) 3HE12523AA. 6P 10GE SFP+ + 4P 25GE SFP28 MDA
(2) 3HE10550AA. QSFP28 - 100GBASE-LR4 ROHS6/6 0/70C - each with 3HE00100PP - RTU License for 100G port 
(3) 3HE14835AA. SFP28  25GE LR - LC ROHS6/6 -40/85C - each with 3HE00100PP - RTU License for 25G port 
(2) 3HE15377AA. SFP28 - 25GE ER - LC ROHS6/6 -40/85C - each with 3HE00100PP - RTU License for 25G port 
(15) 3HE09327AA. SFP+ 10GE LR - LC ROHS6/6-40/85C - each with 3HE00100PP - RTU License for 10G port
(3) 3HE09328AA 	SFP+ 10GE ER - LC ROHS6/6-40/85C - each with 3HE00100PP - RTU License for 10G port 
(2) 3HE09329AA  SFP+ 10GE ZR - LC ROHS6/6 -40/85C - each with 3HE00100PP - RTU License for 10G port </t>
  </si>
  <si>
    <t>7250 IXR-R6 25G MDA bundle including:
(1) 3HE16712AA  MDA - 15 x SFP28/SFP+ + 3 x SFP+ MDA
(7) 3HE14835AA  SFP28  25GE LR - LC ROHS6/6 -40/85C - each with 3HE00100PP - RTU License for 25G port
(3) 3HE15377AA  SFP28 - 25GE ER - LC ROHS6/6 -40/85C - each with 3HE00100PP - RTU License for 25G port</t>
  </si>
  <si>
    <t>7250 IXR-R6 High 10G Bundle including:
(1)3HE16713AA MDA - 20 x SFP+ (R6x)
(14) 3HE09327AA	SFP+ 10GE LR - LC ROHS6/6-40/85C - each with 3HE00100PP - RTU License for 10G port 
(4) 3HE09328AA	SFP+ 10GE ER - LC ROHS6/6-40/85C - each with 3HE00100PP - RTU License for 10G port 
(2) 3HE09329AA	SFP+ 10GE ZR - LC ROHS6/6 -40/85C - each with 3HE00100PP - RTU License for 10G port</t>
  </si>
  <si>
    <t>7210 SAS-Sx 10/100G Bundle including:
(1) 3HE11597AA  SYS - 7210 SAS-Sx 64SFP+ 4QSFP28  
(2) 3HE10499AA  PS - 7210 SAS-Sx Power Supply DC -48V (F) 
(4) 3HE10551AA  QSFP28 - 100GBASE-SR4 ROHS6/6 0/70C - each with 3HE00100PP - RTU License for 100G port 
(45) 3HE09327AA  SFP+ 10GE LR - LC ROHS6/6-40/85C - each with 3HE00010PP - RTU License for 10G port 
(13) 3HE09328AA  SFP+ 10GE ER - LC ROHS6/6-40/85C - each with 3HE00010PP - RTU License for 10G port 
(6) 3HE09329AA  SFP+ 10GE ZR - LC ROHS6/6 -40/85C - each with 3HE00010PP - RTU License for 10G port</t>
  </si>
  <si>
    <t>3HE10499AA</t>
  </si>
  <si>
    <t>QSFP28 bundle exclusive for SR-12e Upgrade, including:
(5) 3HE10550AA	QSFP28 - 100GBASE-LR4 ROHS6/6 0/70C
(2) 3HE11239AA	QSFP28 - 100GBase-ER4Lite RoHS6/6 0/70C
(1) 3HE16558AA	QSFP28 - 100G ZR4 0/70C</t>
  </si>
  <si>
    <t>NSP LP bundle including:
(1) 3HE16254AA  NSP LICENCE POINT
(1) 3HE16255AA  NSP HIGH AVAILABILITY FP
(1) 3HE16001AA  NSP CLASSIC MANAGEMENT FP
(1) 3HE16003AA  NSP NETWORK INFRASTRUCTURE MANAGEMENT FP
(1) 3HE16005AA  NSP SERVICE ASSURANCE FP
(1) 3HE16011AA  NSP WORKFLOW AUTOMATION ENGINE FP</t>
  </si>
  <si>
    <t>PAGG/SCSG  SWAP Port by Port Migration</t>
  </si>
  <si>
    <t>Model Type</t>
  </si>
  <si>
    <t>Qty</t>
  </si>
  <si>
    <t>Synch Source</t>
  </si>
  <si>
    <t>Fixed Switch Migration</t>
  </si>
  <si>
    <t>TOTAL</t>
  </si>
  <si>
    <t>PN</t>
  </si>
  <si>
    <t>Total Price</t>
  </si>
  <si>
    <t>AUH-2903-AGGR-SR7-1</t>
  </si>
  <si>
    <t>AUH-2903-AGGR-SR7-2</t>
  </si>
  <si>
    <t>Design</t>
  </si>
  <si>
    <t>Nokia Design for synch source change on AGGR (including design discussions, lab preparation, lab testing, interop testing, HLD-LLD Update , design validation, dry&amp;run, ATP, High level Migration strategy and validation)</t>
  </si>
  <si>
    <t>Inclusions</t>
  </si>
  <si>
    <t>Exclusions:</t>
  </si>
  <si>
    <t>Phase sync enabling on downlinks [SCSGs/CSGs directly connected to AGGRs]</t>
  </si>
  <si>
    <t>Changing nodes which are currently synced with PTP to Sync-e (PREAGGs)</t>
  </si>
  <si>
    <t>* PTP to Synch-e configuration on PREAGGs should be completed prior to the activity.</t>
  </si>
  <si>
    <t>Category</t>
  </si>
  <si>
    <t>Number</t>
  </si>
  <si>
    <t>Number of AGGRs which have AGG neighborship (will be included)</t>
  </si>
  <si>
    <t xml:space="preserve">Number of AGGRs which has Core Only Connectivity (Will be excluded) </t>
  </si>
  <si>
    <t>Number of AGGRs which will be  offloaded (Will be excluded)</t>
  </si>
  <si>
    <t>node name</t>
  </si>
  <si>
    <t>system¬ipv4</t>
  </si>
  <si>
    <t>SHJ-6002-AGGR-SR7-1</t>
  </si>
  <si>
    <t>10.65.0.29</t>
  </si>
  <si>
    <t>SHJ-6002-AGGR-SR7-2</t>
  </si>
  <si>
    <t>10.65.0.30</t>
  </si>
  <si>
    <t>10.65.0.39</t>
  </si>
  <si>
    <t>10.65.0.40</t>
  </si>
  <si>
    <t>AUH-1416-AGGR-SR12E-1</t>
  </si>
  <si>
    <t>10.65.0.41</t>
  </si>
  <si>
    <t>AUH-1416-AGGR-SR12E-2</t>
  </si>
  <si>
    <t>10.65.0.42</t>
  </si>
  <si>
    <t>10.65.0.45</t>
  </si>
  <si>
    <t>10.65.0.46</t>
  </si>
  <si>
    <t>AUH-6005-AGGR-SR12e-1</t>
  </si>
  <si>
    <t>10.65.0.47</t>
  </si>
  <si>
    <t>AUH-6005-AGGR-SR12e-2</t>
  </si>
  <si>
    <t>10.65.0.48</t>
  </si>
  <si>
    <t>AUH-6003-AGGR-SR7B-1</t>
  </si>
  <si>
    <t>10.65.0.49</t>
  </si>
  <si>
    <t>AUH-6003-AGGR-SR7B-2</t>
  </si>
  <si>
    <t>10.65.0.50</t>
  </si>
  <si>
    <t>10.65.0.53</t>
  </si>
  <si>
    <t>10.65.0.54</t>
  </si>
  <si>
    <t>SHJ-2038-AGGR-SR7-1</t>
  </si>
  <si>
    <t>10.65.0.61</t>
  </si>
  <si>
    <t>SHJ-2038-AGGR-SR7-2</t>
  </si>
  <si>
    <t>10.65.0.62</t>
  </si>
  <si>
    <t>AUH-KHAZNA-AGG-SR12e-1</t>
  </si>
  <si>
    <t>10.65.0.71</t>
  </si>
  <si>
    <t>AUH-KHAZNA-AGG-SR12e-2</t>
  </si>
  <si>
    <t>10.65.0.72</t>
  </si>
  <si>
    <t>DXB-ZAFRAN-AGG-SR12e-1</t>
  </si>
  <si>
    <t>10.65.0.75</t>
  </si>
  <si>
    <t>DXB-ZAFRAN-AGG-SR12e-2</t>
  </si>
  <si>
    <t>10.65.0.76</t>
  </si>
  <si>
    <t>DXB-DUBAIOTECH-AGGR-SR12e-1</t>
  </si>
  <si>
    <t>10.65.0.77</t>
  </si>
  <si>
    <t>DXB-DUBAIOTECH-AGGR-SR12e-2</t>
  </si>
  <si>
    <t>10.65.0.78</t>
  </si>
  <si>
    <t>DXB-6504-AGGR-SR12e-1</t>
  </si>
  <si>
    <t>10.65.0.79</t>
  </si>
  <si>
    <t>DXB-6504-AGGR-SR12e-2</t>
  </si>
  <si>
    <t>10.65.0.80</t>
  </si>
  <si>
    <t>DXB-6501-AGGR-SR12e-1</t>
  </si>
  <si>
    <t>10.65.0.83</t>
  </si>
  <si>
    <t>DXB-6501-AGGR-SR12e-2</t>
  </si>
  <si>
    <t>10.65.0.84</t>
  </si>
  <si>
    <t>DXB-6020-AGGR-SR12e-1</t>
  </si>
  <si>
    <t>10.65.0.85</t>
  </si>
  <si>
    <t>DXB-6020-AGGR-SR12e-2</t>
  </si>
  <si>
    <t>10.65.0.86</t>
  </si>
  <si>
    <t>DXB-INDC-AGGR-SR12e-1</t>
  </si>
  <si>
    <t>10.65.0.87</t>
  </si>
  <si>
    <t>DXB-INDC-AGGR-SR12e-2</t>
  </si>
  <si>
    <t>10.65.0.88</t>
  </si>
  <si>
    <t>AUH-DC-AGGR-SR12e-1</t>
  </si>
  <si>
    <t>10.65.0.89</t>
  </si>
  <si>
    <t>AUH-DC-AGGR-SR12e-2</t>
  </si>
  <si>
    <t>10.65.0.90</t>
  </si>
  <si>
    <t>AUH-6501-AGGR-SR12e-1</t>
  </si>
  <si>
    <t>10.65.0.91</t>
  </si>
  <si>
    <t>AUH-6501-AGGR-SR12e-2</t>
  </si>
  <si>
    <t>10.65.0.92</t>
  </si>
  <si>
    <t>DXB-6004-AGGR-SR12e-1</t>
  </si>
  <si>
    <t>10.65.0.105</t>
  </si>
  <si>
    <t>DXB-6004-AGGR-SR12e-2</t>
  </si>
  <si>
    <t>10.65.0.106</t>
  </si>
  <si>
    <t>DXB-1998-AGGR-SR12e-1</t>
  </si>
  <si>
    <t>10.65.0.111</t>
  </si>
  <si>
    <t>DXB-1998-AGGR-SR12e-2</t>
  </si>
  <si>
    <t>10.65.0.112</t>
  </si>
  <si>
    <t>DXB-3724-AGGR-SR12e-1</t>
  </si>
  <si>
    <t>10.65.0.113</t>
  </si>
  <si>
    <t>DXB-3724-AGGR-SR12e-2</t>
  </si>
  <si>
    <t>10.65.0.114</t>
  </si>
  <si>
    <t>AAN-6001-AGGR-SR7S-1</t>
  </si>
  <si>
    <t>10.65.0.129</t>
  </si>
  <si>
    <t>AAN-6001-AGGR-SR7S-2</t>
  </si>
  <si>
    <t>10.65.0.130</t>
  </si>
  <si>
    <t>DXB-5008-AGGR-SR2S-1</t>
  </si>
  <si>
    <t>10.65.0.135</t>
  </si>
  <si>
    <t>DXB-5008-AGGR-SR2S-2</t>
  </si>
  <si>
    <t>10.65.0.136</t>
  </si>
  <si>
    <t> </t>
  </si>
  <si>
    <t>Service Type</t>
  </si>
  <si>
    <t>Ports</t>
  </si>
  <si>
    <t>Switches</t>
  </si>
  <si>
    <t>Directly Connected Fixed Services</t>
  </si>
  <si>
    <t>Total Ports</t>
  </si>
  <si>
    <t>Services</t>
  </si>
  <si>
    <t>Installation, testing, Acceptance, migration</t>
  </si>
  <si>
    <t>* 2 vRR in 3 regions; 6 live deployments. 2 will be installed in lab and 1 will handed over to operations as spare.</t>
  </si>
  <si>
    <t>* Dismantled 9xSN7 servers will be collected by Nokia.</t>
  </si>
  <si>
    <t>* Replacement PIP will be shared.</t>
  </si>
  <si>
    <t>vRR Server Replacement Services</t>
  </si>
  <si>
    <t>AGGR Will be included in the scope (8*AGGR will be removed from the below list which does not have TP4100 connections)</t>
  </si>
  <si>
    <t>Changing AGGR Synch Source to TP4100 on 36 AGGRs</t>
  </si>
  <si>
    <t>* BoQ is limited to 17*MW. (2*MW added as buffer).</t>
  </si>
  <si>
    <t xml:space="preserve">* Nokia to support Cisco during the MW to shutdown the port from Nokia PREAGG. </t>
  </si>
  <si>
    <t>* 102xSwitches &amp; 10xDirectly connected fixed services will be migrated in 15*MW within 3 months.</t>
  </si>
  <si>
    <t xml:space="preserve">* CR Management / PIP  will be under Cisco responsibility. </t>
  </si>
  <si>
    <t>Du PN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</si>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</sst>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43" formatCode="_(* #,##0.00_);_(* \(#,##0.00\);_(* &quot;-&quot;??_);_(@_)"/>
    <numFmt numFmtId="164" formatCode="_-* #,##0.00_-;\-* #,##0.00_-;_-* &quot;-&quot;??_-;_-@_-"/>
    <numFmt numFmtId="165" formatCode="_-[$$-409]* #,##0.00_ ;_-[$$-409]* \-#,##0.00\ ;_-[$$-409]* &quot;-&quot;??_ ;_-@_ "/>
  </numFmts>
  <fonts count="21">
    <font>
      <sz val="11"/>
      <color theme="1"/>
      <name val="Calibri"/>
      <family val="2"/>
      <scheme val="minor"/>
    </font>
    <font>
      <b/>
      <sz val="11"/>
      <color theme="0"/>
      <name val="Calibri"/>
      <family val="2"/>
      <scheme val="minor"/>
    </font>
    <font>
      <sz val="10"/>
      <name val="Arial"/>
      <family val="2"/>
    </font>
    <font>
      <b/>
      <sz val="14"/>
      <color theme="2"/>
      <name val="Rockwell"/>
      <family val="1"/>
    </font>
    <font>
      <sz val="11"/>
      <name val="Calibri"/>
      <family val="2"/>
      <scheme val="minor"/>
    </font>
    <font>
      <i/>
      <sz val="9"/>
      <name val="Arial"/>
      <family val="2"/>
    </font>
    <font>
      <b/>
      <sz val="11"/>
      <color theme="5"/>
      <name val="Rockwell"/>
      <family val="1"/>
    </font>
    <font>
      <b/>
      <sz val="10"/>
      <color theme="3"/>
      <name val="Arial"/>
      <family val="2"/>
    </font>
    <font>
      <sz val="11"/>
      <name val="Calibri"/>
      <family val="2"/>
      <charset val="134"/>
      <scheme val="minor"/>
    </font>
    <font>
      <sz val="11"/>
      <color theme="1"/>
      <name val="Calibri"/>
      <family val="2"/>
      <scheme val="minor"/>
    </font>
    <font>
      <sz val="9"/>
      <color theme="1"/>
      <name val="Nokia Pure Text"/>
      <family val="2"/>
    </font>
    <font>
      <sz val="10"/>
      <color theme="1"/>
      <name val="Arial"/>
      <family val="2"/>
    </font>
    <font>
      <sz val="11"/>
      <color theme="0"/>
      <name val="Calibri"/>
      <family val="2"/>
      <scheme val="minor"/>
    </font>
    <font>
      <b/>
      <sz val="11"/>
      <color theme="1"/>
      <name val="Calibri"/>
      <family val="2"/>
      <scheme val="minor"/>
    </font>
    <font>
      <b/>
      <sz val="12"/>
      <color rgb="FFFFFFFF"/>
      <name val="Calibri"/>
      <family val="2"/>
    </font>
    <font>
      <sz val="11"/>
      <color rgb="FF000000"/>
      <name val="Calibri"/>
      <family val="2"/>
    </font>
    <font>
      <b/>
      <sz val="11"/>
      <color rgb="FFFFFFFF"/>
      <name val="Calibri"/>
      <family val="2"/>
    </font>
    <font>
      <b/>
      <sz val="11"/>
      <color rgb="FF000000"/>
      <name val="Nokia Pure Headline Light"/>
      <family val="2"/>
    </font>
    <font>
      <sz val="11"/>
      <color rgb="FF2F5496"/>
      <name val="Nokia Pure Headline Light"/>
      <family val="2"/>
    </font>
    <font>
      <sz val="11"/>
      <color rgb="FF203764"/>
      <name val="Nokia Pure Headline"/>
      <family val="2"/>
    </font>
    <font>
      <b/>
      <sz val="11"/>
      <color rgb="FF000000"/>
      <name val="Calibri"/>
      <family val="2"/>
    </font>
  </fonts>
  <fills count="18">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rgb="FFFFFFCC"/>
        <bgColor indexed="64"/>
      </patternFill>
    </fill>
    <fill>
      <patternFill patternType="solid">
        <fgColor theme="8" tint="0.79998168889431442"/>
        <bgColor indexed="64"/>
      </patternFill>
    </fill>
    <fill>
      <patternFill patternType="solid">
        <fgColor rgb="FFFFFF00"/>
        <bgColor indexed="64"/>
      </patternFill>
    </fill>
    <fill>
      <patternFill patternType="solid">
        <fgColor theme="4" tint="-0.249977111117893"/>
        <bgColor indexed="64"/>
      </patternFill>
    </fill>
    <fill>
      <patternFill patternType="solid">
        <fgColor rgb="FF8EAADB"/>
        <bgColor indexed="64"/>
      </patternFill>
    </fill>
    <fill>
      <patternFill patternType="solid">
        <fgColor rgb="FF70AD47"/>
        <bgColor rgb="FF000000"/>
      </patternFill>
    </fill>
    <fill>
      <patternFill patternType="solid">
        <fgColor rgb="FFC6E0B4"/>
        <bgColor rgb="FF000000"/>
      </patternFill>
    </fill>
    <fill>
      <patternFill patternType="solid">
        <fgColor rgb="FFE2EFDA"/>
        <bgColor rgb="FF000000"/>
      </patternFill>
    </fill>
    <fill>
      <patternFill patternType="solid">
        <fgColor rgb="FF4472C4"/>
        <bgColor rgb="FF000000"/>
      </patternFill>
    </fill>
    <fill>
      <patternFill patternType="solid">
        <fgColor rgb="FFB4C6E7"/>
        <bgColor rgb="FF000000"/>
      </patternFill>
    </fill>
    <fill>
      <patternFill patternType="solid">
        <fgColor rgb="FFD9E1F2"/>
        <bgColor rgb="FF000000"/>
      </patternFill>
    </fill>
    <fill>
      <patternFill patternType="solid">
        <fgColor rgb="FF203764"/>
        <bgColor rgb="FF000000"/>
      </patternFill>
    </fill>
    <fill>
      <patternFill patternType="solid">
        <fgColor rgb="FF305496"/>
        <bgColor rgb="FF000000"/>
      </patternFill>
    </fill>
    <fill>
      <patternFill patternType="solid">
        <fgColor rgb="FFFFFF00"/>
        <bgColor rgb="FF000000"/>
      </patternFill>
    </fill>
  </fills>
  <borders count="33">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indexed="64"/>
      </left>
      <right style="thin">
        <color auto="1"/>
      </right>
      <top/>
      <bottom style="thin">
        <color auto="1"/>
      </bottom>
      <diagonal/>
    </border>
    <border>
      <left style="thin">
        <color indexed="18"/>
      </left>
      <right style="thin">
        <color indexed="18"/>
      </right>
      <top style="thin">
        <color indexed="18"/>
      </top>
      <bottom style="thin">
        <color indexed="18"/>
      </bottom>
      <diagonal/>
    </border>
    <border>
      <left style="thin">
        <color indexed="64"/>
      </left>
      <right style="thin">
        <color indexed="64"/>
      </right>
      <top style="thin">
        <color indexed="64"/>
      </top>
      <bottom style="thin">
        <color indexed="64"/>
      </bottom>
      <diagonal/>
    </border>
    <border>
      <left style="thin">
        <color auto="1"/>
      </left>
      <right style="thin">
        <color auto="1"/>
      </right>
      <top/>
      <bottom/>
      <diagonal/>
    </border>
    <border>
      <left/>
      <right style="thin">
        <color indexed="64"/>
      </right>
      <top style="thin">
        <color indexed="64"/>
      </top>
      <bottom style="thin">
        <color indexed="64"/>
      </bottom>
      <diagonal/>
    </border>
    <border>
      <left/>
      <right style="thin">
        <color indexed="64"/>
      </right>
      <top style="thin">
        <color auto="1"/>
      </top>
      <bottom/>
      <diagonal/>
    </border>
    <border>
      <left/>
      <right style="thin">
        <color indexed="64"/>
      </right>
      <top/>
      <bottom/>
      <diagonal/>
    </border>
    <border>
      <left/>
      <right style="thin">
        <color indexed="64"/>
      </right>
      <top/>
      <bottom style="thin">
        <color auto="1"/>
      </bottom>
      <diagonal/>
    </border>
    <border>
      <left style="thin">
        <color theme="0" tint="-0.499984740745262"/>
      </left>
      <right/>
      <top/>
      <bottom/>
      <diagonal/>
    </border>
    <border>
      <left style="thin">
        <color theme="0" tint="-0.499984740745262"/>
      </left>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style="thin">
        <color indexed="64"/>
      </left>
      <right/>
      <top style="thin">
        <color indexed="64"/>
      </top>
      <bottom style="thin">
        <color indexed="64"/>
      </bottom>
      <diagonal/>
    </border>
    <border>
      <left style="thin">
        <color auto="1"/>
      </left>
      <right/>
      <top style="thin">
        <color indexed="64"/>
      </top>
      <bottom/>
      <diagonal/>
    </border>
    <border>
      <left style="thin">
        <color auto="1"/>
      </left>
      <right/>
      <top/>
      <bottom/>
      <diagonal/>
    </border>
    <border>
      <left style="thin">
        <color auto="1"/>
      </left>
      <right/>
      <top/>
      <bottom style="thin">
        <color indexed="64"/>
      </bottom>
      <diagonal/>
    </border>
    <border>
      <left/>
      <right/>
      <top style="thin">
        <color theme="0" tint="-0.24994659260841701"/>
      </top>
      <bottom style="thin">
        <color theme="0" tint="-0.24994659260841701"/>
      </bottom>
      <diagonal/>
    </border>
    <border>
      <left/>
      <right/>
      <top style="hair">
        <color theme="0" tint="-0.499984740745262"/>
      </top>
      <bottom style="hair">
        <color theme="0" tint="-0.499984740745262"/>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rgb="FFFFFFFF"/>
      </right>
      <top/>
      <bottom style="thick">
        <color rgb="FFFFFFFF"/>
      </bottom>
      <diagonal/>
    </border>
    <border>
      <left/>
      <right/>
      <top/>
      <bottom style="thick">
        <color rgb="FFFFFFFF"/>
      </bottom>
      <diagonal/>
    </border>
    <border>
      <left/>
      <right style="medium">
        <color rgb="FFFFFFFF"/>
      </right>
      <top/>
      <bottom style="medium">
        <color rgb="FFFFFFFF"/>
      </bottom>
      <diagonal/>
    </border>
    <border>
      <left/>
      <right/>
      <top/>
      <bottom style="medium">
        <color rgb="FFFFFFFF"/>
      </bottom>
      <diagonal/>
    </border>
    <border>
      <left/>
      <right style="medium">
        <color rgb="FFFFFFFF"/>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rgb="FFFFFFFF"/>
      </bottom>
      <diagonal/>
    </border>
    <border>
      <left/>
      <right style="medium">
        <color indexed="64"/>
      </right>
      <top/>
      <bottom style="medium">
        <color rgb="FFFFFFFF"/>
      </bottom>
      <diagonal/>
    </border>
  </borders>
  <cellStyleXfs count="14">
    <xf numFmtId="0" fontId="0" fillId="0" borderId="0"/>
    <xf numFmtId="0" fontId="2" fillId="0" borderId="0"/>
    <xf numFmtId="43" fontId="2" fillId="0" borderId="0" applyFont="0" applyFill="0" applyBorder="0" applyAlignment="0" applyProtection="0"/>
    <xf numFmtId="0" fontId="3" fillId="0" borderId="0" applyNumberFormat="0"/>
    <xf numFmtId="0" fontId="5" fillId="0" borderId="0" applyNumberFormat="0" applyFill="0" applyBorder="0" applyAlignment="0" applyProtection="0"/>
    <xf numFmtId="0" fontId="6" fillId="0" borderId="0" applyNumberFormat="0" applyAlignment="0"/>
    <xf numFmtId="0" fontId="2" fillId="0" borderId="0"/>
    <xf numFmtId="0" fontId="7" fillId="0" borderId="1" applyNumberFormat="0">
      <alignment horizontal="center" vertical="center" wrapText="1"/>
    </xf>
    <xf numFmtId="0" fontId="2" fillId="0" borderId="2" applyNumberFormat="0" applyFill="0" applyAlignment="0" applyProtection="0"/>
    <xf numFmtId="0" fontId="8" fillId="0" borderId="0">
      <alignment vertical="center"/>
    </xf>
    <xf numFmtId="0" fontId="9" fillId="0" borderId="4" applyNumberFormat="0" applyFill="0" applyAlignment="0" applyProtection="0"/>
    <xf numFmtId="0" fontId="11" fillId="0" borderId="0"/>
    <xf numFmtId="44" fontId="9" fillId="0" borderId="0" applyFont="0" applyFill="0" applyBorder="0" applyAlignment="0" applyProtection="0"/>
    <xf numFmtId="43" fontId="9" fillId="0" borderId="0" applyFont="0" applyFill="0" applyBorder="0" applyAlignment="0" applyProtection="0"/>
  </cellStyleXfs>
  <cellXfs count="206">
    <xf numFmtId="0" fontId="0" fillId="0" borderId="0" xfId="0"/>
    <xf numFmtId="0" fontId="0" fillId="0" borderId="5" xfId="0" applyBorder="1" applyAlignment="1">
      <alignment wrapText="1"/>
    </xf>
    <xf numFmtId="0" fontId="0" fillId="0" borderId="5" xfId="0" applyBorder="1"/>
    <xf numFmtId="0" fontId="0" fillId="0" borderId="5" xfId="0" applyBorder="1" applyAlignment="1">
      <alignment vertical="center" wrapText="1"/>
    </xf>
    <xf numFmtId="0" fontId="0" fillId="0" borderId="5" xfId="0" applyBorder="1" applyAlignment="1">
      <alignment vertical="center"/>
    </xf>
    <xf numFmtId="0" fontId="1" fillId="3" borderId="0" xfId="0" applyFont="1" applyFill="1" applyAlignment="1">
      <alignment wrapText="1"/>
    </xf>
    <xf numFmtId="0" fontId="0" fillId="2" borderId="0" xfId="0" applyFill="1"/>
    <xf numFmtId="0" fontId="0" fillId="5" borderId="0" xfId="0" applyFill="1"/>
    <xf numFmtId="0" fontId="1" fillId="3" borderId="0" xfId="0" applyFont="1" applyFill="1" applyAlignment="1">
      <alignment horizontal="center" vertical="center" wrapText="1"/>
    </xf>
    <xf numFmtId="0" fontId="0" fillId="2" borderId="5" xfId="0" applyFill="1" applyBorder="1" applyAlignment="1">
      <alignment horizontal="center" vertical="center"/>
    </xf>
    <xf numFmtId="0" fontId="0" fillId="5" borderId="5" xfId="0" applyFill="1" applyBorder="1" applyAlignment="1">
      <alignment horizontal="center" vertical="center"/>
    </xf>
    <xf numFmtId="0" fontId="0" fillId="0" borderId="0" xfId="0" applyAlignment="1">
      <alignment vertical="center"/>
    </xf>
    <xf numFmtId="0" fontId="1" fillId="3" borderId="0" xfId="0" applyFont="1" applyFill="1" applyAlignment="1">
      <alignment vertical="center" wrapText="1"/>
    </xf>
    <xf numFmtId="49" fontId="4" fillId="2" borderId="11" xfId="8" quotePrefix="1" applyNumberFormat="1" applyFont="1" applyFill="1" applyBorder="1" applyAlignment="1" applyProtection="1">
      <alignment horizontal="left" vertical="center" wrapText="1"/>
      <protection locked="0"/>
    </xf>
    <xf numFmtId="0" fontId="0" fillId="2" borderId="5" xfId="0" applyFill="1" applyBorder="1" applyAlignment="1">
      <alignment vertical="center" wrapText="1"/>
    </xf>
    <xf numFmtId="49" fontId="4" fillId="2" borderId="12" xfId="8" quotePrefix="1" applyNumberFormat="1" applyFont="1" applyFill="1" applyBorder="1" applyAlignment="1" applyProtection="1">
      <alignment horizontal="left" vertical="center" wrapText="1"/>
      <protection locked="0"/>
    </xf>
    <xf numFmtId="0" fontId="0" fillId="2" borderId="3" xfId="0" applyFill="1" applyBorder="1" applyAlignment="1">
      <alignment vertical="center" wrapText="1"/>
    </xf>
    <xf numFmtId="0" fontId="0" fillId="2" borderId="5" xfId="0" applyFill="1" applyBorder="1" applyAlignment="1">
      <alignment vertical="center"/>
    </xf>
    <xf numFmtId="49" fontId="4" fillId="2" borderId="5" xfId="8" quotePrefix="1" applyNumberFormat="1" applyFont="1" applyFill="1" applyBorder="1" applyAlignment="1" applyProtection="1">
      <alignment horizontal="left" vertical="center" wrapText="1"/>
      <protection locked="0"/>
    </xf>
    <xf numFmtId="0" fontId="1" fillId="3" borderId="0" xfId="0" applyFont="1" applyFill="1" applyAlignment="1">
      <alignment horizontal="left" vertical="center" wrapText="1"/>
    </xf>
    <xf numFmtId="49" fontId="4" fillId="5" borderId="5" xfId="8" quotePrefix="1" applyNumberFormat="1" applyFont="1" applyFill="1" applyBorder="1" applyAlignment="1" applyProtection="1">
      <alignment horizontal="left" vertical="center" wrapText="1"/>
      <protection locked="0"/>
    </xf>
    <xf numFmtId="0" fontId="0" fillId="0" borderId="0" xfId="0" applyAlignment="1">
      <alignment horizontal="left" vertical="center"/>
    </xf>
    <xf numFmtId="44" fontId="0" fillId="2" borderId="5" xfId="12" applyFont="1" applyFill="1" applyBorder="1" applyAlignment="1">
      <alignment vertical="center"/>
    </xf>
    <xf numFmtId="0" fontId="0" fillId="0" borderId="0" xfId="0" applyAlignment="1">
      <alignment horizontal="center" vertical="center"/>
    </xf>
    <xf numFmtId="49" fontId="4" fillId="2" borderId="14" xfId="8" quotePrefix="1" applyNumberFormat="1" applyFont="1" applyFill="1" applyBorder="1" applyAlignment="1" applyProtection="1">
      <alignment vertical="top" wrapText="1"/>
      <protection locked="0"/>
    </xf>
    <xf numFmtId="49" fontId="4" fillId="5" borderId="14" xfId="8" quotePrefix="1" applyNumberFormat="1" applyFont="1" applyFill="1" applyBorder="1" applyAlignment="1" applyProtection="1">
      <alignment vertical="top" wrapText="1"/>
      <protection locked="0"/>
    </xf>
    <xf numFmtId="49" fontId="4" fillId="2" borderId="14" xfId="8" quotePrefix="1" applyNumberFormat="1" applyFont="1" applyFill="1" applyBorder="1" applyAlignment="1" applyProtection="1">
      <alignment horizontal="left" vertical="center" wrapText="1"/>
      <protection locked="0"/>
    </xf>
    <xf numFmtId="49" fontId="4" fillId="2" borderId="14" xfId="8" quotePrefix="1" applyNumberFormat="1" applyFont="1" applyFill="1" applyBorder="1" applyAlignment="1" applyProtection="1">
      <alignment horizontal="left" vertical="top" wrapText="1"/>
      <protection locked="0"/>
    </xf>
    <xf numFmtId="0" fontId="0" fillId="2" borderId="14" xfId="0" applyFill="1" applyBorder="1" applyAlignment="1">
      <alignment wrapText="1"/>
    </xf>
    <xf numFmtId="0" fontId="0" fillId="2" borderId="14" xfId="0" applyFill="1" applyBorder="1" applyAlignment="1">
      <alignment vertical="center" wrapText="1"/>
    </xf>
    <xf numFmtId="49" fontId="4" fillId="2" borderId="7" xfId="8" quotePrefix="1" applyNumberFormat="1" applyFont="1" applyFill="1" applyBorder="1" applyAlignment="1" applyProtection="1">
      <alignment vertical="center" wrapText="1"/>
      <protection locked="0"/>
    </xf>
    <xf numFmtId="0" fontId="0" fillId="2" borderId="7" xfId="0" applyFill="1" applyBorder="1" applyAlignment="1">
      <alignment vertical="center"/>
    </xf>
    <xf numFmtId="49" fontId="4" fillId="5" borderId="7" xfId="8" quotePrefix="1" applyNumberFormat="1" applyFont="1" applyFill="1" applyBorder="1" applyAlignment="1" applyProtection="1">
      <alignment vertical="center" wrapText="1"/>
      <protection locked="0"/>
    </xf>
    <xf numFmtId="49" fontId="4" fillId="5" borderId="7" xfId="8" quotePrefix="1" applyNumberFormat="1" applyFont="1" applyFill="1" applyBorder="1" applyAlignment="1" applyProtection="1">
      <alignment horizontal="left" vertical="center" wrapText="1"/>
      <protection locked="0"/>
    </xf>
    <xf numFmtId="0" fontId="0" fillId="5" borderId="7" xfId="0" applyFill="1" applyBorder="1" applyAlignment="1">
      <alignment vertical="center" wrapText="1"/>
    </xf>
    <xf numFmtId="0" fontId="10" fillId="5" borderId="7" xfId="0" applyFont="1" applyFill="1" applyBorder="1" applyAlignment="1">
      <alignment horizontal="left" vertical="center" wrapText="1"/>
    </xf>
    <xf numFmtId="0" fontId="10" fillId="0" borderId="7" xfId="0" applyFont="1" applyBorder="1" applyAlignment="1">
      <alignment horizontal="left" vertical="center" wrapText="1"/>
    </xf>
    <xf numFmtId="0" fontId="0" fillId="0" borderId="7" xfId="0" applyBorder="1" applyAlignment="1">
      <alignment vertical="center" wrapText="1"/>
    </xf>
    <xf numFmtId="0" fontId="11" fillId="2" borderId="7" xfId="0" applyFont="1" applyFill="1" applyBorder="1" applyAlignment="1">
      <alignment horizontal="left" vertical="center" wrapText="1"/>
    </xf>
    <xf numFmtId="0" fontId="0" fillId="0" borderId="7" xfId="0" applyBorder="1" applyAlignment="1">
      <alignment vertical="center"/>
    </xf>
    <xf numFmtId="0" fontId="1" fillId="3" borderId="5" xfId="0" applyFont="1" applyFill="1" applyBorder="1" applyAlignment="1">
      <alignment wrapText="1"/>
    </xf>
    <xf numFmtId="49" fontId="4" fillId="5" borderId="14" xfId="8" quotePrefix="1" applyNumberFormat="1" applyFont="1" applyFill="1" applyBorder="1" applyAlignment="1" applyProtection="1">
      <alignment horizontal="left" vertical="center" wrapText="1"/>
      <protection locked="0"/>
    </xf>
    <xf numFmtId="44" fontId="0" fillId="5" borderId="5" xfId="12" applyFont="1" applyFill="1" applyBorder="1" applyAlignment="1">
      <alignment horizontal="center" vertical="center" wrapText="1"/>
    </xf>
    <xf numFmtId="49" fontId="4" fillId="2" borderId="10" xfId="8" quotePrefix="1" applyNumberFormat="1" applyFont="1" applyFill="1" applyBorder="1" applyAlignment="1" applyProtection="1">
      <alignment vertical="center" wrapText="1"/>
      <protection locked="0"/>
    </xf>
    <xf numFmtId="0" fontId="0" fillId="2" borderId="3" xfId="0" applyFill="1" applyBorder="1" applyAlignment="1">
      <alignment horizontal="center" vertical="center"/>
    </xf>
    <xf numFmtId="44" fontId="0" fillId="2" borderId="3" xfId="12" applyFont="1" applyFill="1" applyBorder="1" applyAlignment="1">
      <alignment vertical="center"/>
    </xf>
    <xf numFmtId="0" fontId="0" fillId="5" borderId="5" xfId="0" applyFill="1" applyBorder="1" applyAlignment="1">
      <alignment vertical="center" wrapText="1"/>
    </xf>
    <xf numFmtId="44" fontId="0" fillId="5" borderId="3" xfId="12" applyFont="1" applyFill="1" applyBorder="1" applyAlignment="1">
      <alignment horizontal="center" vertical="center" wrapText="1"/>
    </xf>
    <xf numFmtId="44" fontId="4" fillId="0" borderId="5" xfId="12" applyFont="1" applyFill="1" applyBorder="1" applyAlignment="1" applyProtection="1">
      <alignment vertical="center" wrapText="1"/>
    </xf>
    <xf numFmtId="44" fontId="0" fillId="5" borderId="5" xfId="12" applyFont="1" applyFill="1" applyBorder="1" applyAlignment="1">
      <alignment vertical="center"/>
    </xf>
    <xf numFmtId="49" fontId="4" fillId="5" borderId="14" xfId="8" quotePrefix="1" applyNumberFormat="1" applyFont="1" applyFill="1" applyBorder="1" applyAlignment="1" applyProtection="1">
      <alignment horizontal="left" vertical="top" wrapText="1"/>
      <protection locked="0"/>
    </xf>
    <xf numFmtId="49" fontId="4" fillId="5" borderId="13" xfId="8" quotePrefix="1" applyNumberFormat="1" applyFont="1" applyFill="1" applyBorder="1" applyAlignment="1" applyProtection="1">
      <alignment horizontal="center" vertical="center" wrapText="1"/>
      <protection locked="0"/>
    </xf>
    <xf numFmtId="0" fontId="0" fillId="2" borderId="7" xfId="0" applyFill="1" applyBorder="1" applyAlignment="1">
      <alignment vertical="center" wrapText="1"/>
    </xf>
    <xf numFmtId="0" fontId="8" fillId="2" borderId="7" xfId="9" applyFill="1" applyBorder="1" applyAlignment="1">
      <alignment vertical="center" wrapText="1"/>
    </xf>
    <xf numFmtId="49" fontId="4" fillId="5" borderId="19" xfId="8" quotePrefix="1" applyNumberFormat="1" applyFont="1" applyFill="1" applyBorder="1" applyAlignment="1" applyProtection="1">
      <alignment horizontal="left" vertical="center" wrapText="1"/>
      <protection locked="0"/>
    </xf>
    <xf numFmtId="49" fontId="4" fillId="2" borderId="19" xfId="8" quotePrefix="1" applyNumberFormat="1" applyFont="1" applyFill="1" applyBorder="1" applyAlignment="1" applyProtection="1">
      <alignment horizontal="left" vertical="center" wrapText="1"/>
      <protection locked="0"/>
    </xf>
    <xf numFmtId="0" fontId="0" fillId="5" borderId="18" xfId="0" applyFill="1" applyBorder="1" applyAlignment="1">
      <alignment horizontal="left" vertical="center" wrapText="1"/>
    </xf>
    <xf numFmtId="0" fontId="0" fillId="5" borderId="9" xfId="0" applyFill="1" applyBorder="1" applyAlignment="1">
      <alignment vertical="center" wrapText="1"/>
    </xf>
    <xf numFmtId="0" fontId="0" fillId="5" borderId="6" xfId="0" applyFill="1" applyBorder="1" applyAlignment="1">
      <alignment vertical="center" wrapText="1"/>
    </xf>
    <xf numFmtId="49" fontId="4" fillId="4" borderId="3" xfId="8" quotePrefix="1" applyNumberFormat="1" applyFont="1" applyFill="1" applyBorder="1" applyAlignment="1" applyProtection="1">
      <alignment vertical="center"/>
      <protection locked="0"/>
    </xf>
    <xf numFmtId="0" fontId="0" fillId="5" borderId="7" xfId="0" quotePrefix="1" applyFill="1" applyBorder="1" applyAlignment="1">
      <alignment vertical="center" wrapText="1"/>
    </xf>
    <xf numFmtId="49" fontId="4" fillId="5" borderId="20" xfId="8" quotePrefix="1" applyNumberFormat="1" applyFont="1" applyFill="1" applyBorder="1" applyAlignment="1" applyProtection="1">
      <alignment horizontal="left" vertical="center" wrapText="1"/>
      <protection locked="0"/>
    </xf>
    <xf numFmtId="49" fontId="4" fillId="5" borderId="15" xfId="8" quotePrefix="1" applyNumberFormat="1" applyFont="1" applyFill="1" applyBorder="1" applyAlignment="1" applyProtection="1">
      <alignment horizontal="left" vertical="top" wrapText="1"/>
      <protection locked="0"/>
    </xf>
    <xf numFmtId="0" fontId="0" fillId="5" borderId="20" xfId="0" applyFill="1" applyBorder="1" applyAlignment="1">
      <alignment horizontal="center" vertical="center"/>
    </xf>
    <xf numFmtId="49" fontId="4" fillId="2" borderId="3" xfId="8" quotePrefix="1" applyNumberFormat="1" applyFont="1" applyFill="1" applyBorder="1" applyAlignment="1" applyProtection="1">
      <alignment vertical="center"/>
      <protection locked="0"/>
    </xf>
    <xf numFmtId="49" fontId="4" fillId="2" borderId="5" xfId="8" quotePrefix="1" applyNumberFormat="1" applyFont="1" applyFill="1" applyBorder="1" applyAlignment="1" applyProtection="1">
      <alignment vertical="center"/>
      <protection locked="0"/>
    </xf>
    <xf numFmtId="44" fontId="0" fillId="0" borderId="0" xfId="12" applyFont="1"/>
    <xf numFmtId="44" fontId="0" fillId="0" borderId="0" xfId="0" applyNumberFormat="1"/>
    <xf numFmtId="0" fontId="1" fillId="3" borderId="5" xfId="7" applyFont="1" applyFill="1" applyBorder="1">
      <alignment horizontal="center" vertical="center" wrapText="1"/>
    </xf>
    <xf numFmtId="44" fontId="0" fillId="0" borderId="5" xfId="12" applyFont="1" applyBorder="1"/>
    <xf numFmtId="49" fontId="4" fillId="2" borderId="5" xfId="8" quotePrefix="1" applyNumberFormat="1" applyFont="1" applyFill="1" applyBorder="1" applyAlignment="1" applyProtection="1">
      <alignment vertical="center" wrapText="1"/>
      <protection locked="0"/>
    </xf>
    <xf numFmtId="44" fontId="4" fillId="2" borderId="5" xfId="12" applyFont="1" applyFill="1" applyBorder="1" applyAlignment="1" applyProtection="1">
      <alignment vertical="top" wrapText="1"/>
    </xf>
    <xf numFmtId="0" fontId="0" fillId="2" borderId="15" xfId="0" applyFill="1" applyBorder="1" applyAlignment="1">
      <alignment horizontal="left" vertical="center" wrapText="1"/>
    </xf>
    <xf numFmtId="0" fontId="0" fillId="2" borderId="5" xfId="0" applyFill="1" applyBorder="1" applyAlignment="1">
      <alignment horizontal="center" vertical="center" wrapText="1"/>
    </xf>
    <xf numFmtId="44" fontId="0" fillId="2" borderId="20" xfId="0" applyNumberFormat="1" applyFill="1" applyBorder="1" applyAlignment="1">
      <alignment horizontal="center" vertical="center" wrapText="1"/>
    </xf>
    <xf numFmtId="0" fontId="0" fillId="5" borderId="5" xfId="0" applyFill="1" applyBorder="1" applyAlignment="1">
      <alignment horizontal="left" vertical="center" wrapText="1"/>
    </xf>
    <xf numFmtId="0" fontId="0" fillId="5" borderId="15" xfId="0" applyFill="1" applyBorder="1" applyAlignment="1">
      <alignment horizontal="left" vertical="center" wrapText="1"/>
    </xf>
    <xf numFmtId="0" fontId="0" fillId="5" borderId="5" xfId="0" applyFill="1" applyBorder="1" applyAlignment="1">
      <alignment horizontal="center" vertical="center" wrapText="1"/>
    </xf>
    <xf numFmtId="44" fontId="0" fillId="5" borderId="20" xfId="0" applyNumberFormat="1" applyFill="1" applyBorder="1" applyAlignment="1">
      <alignment horizontal="center" vertical="center" wrapText="1"/>
    </xf>
    <xf numFmtId="44" fontId="0" fillId="5" borderId="3" xfId="0" applyNumberFormat="1" applyFill="1" applyBorder="1" applyAlignment="1">
      <alignment horizontal="center" vertical="center" wrapText="1"/>
    </xf>
    <xf numFmtId="0" fontId="0" fillId="2" borderId="6" xfId="0" applyFill="1" applyBorder="1" applyAlignment="1">
      <alignment horizontal="left" vertical="center" wrapText="1"/>
    </xf>
    <xf numFmtId="0" fontId="0" fillId="2" borderId="20" xfId="0" applyFill="1" applyBorder="1" applyAlignment="1">
      <alignment horizontal="center" vertical="center" wrapText="1"/>
    </xf>
    <xf numFmtId="0" fontId="10" fillId="2" borderId="5" xfId="0" applyFont="1" applyFill="1" applyBorder="1" applyAlignment="1">
      <alignment vertical="center" shrinkToFit="1"/>
    </xf>
    <xf numFmtId="0" fontId="0" fillId="5" borderId="0" xfId="0" applyFill="1" applyAlignment="1">
      <alignment horizontal="center" vertical="center" wrapText="1"/>
    </xf>
    <xf numFmtId="0" fontId="0" fillId="2" borderId="20" xfId="0" applyFill="1" applyBorder="1" applyAlignment="1">
      <alignment horizontal="left" vertical="center" wrapText="1"/>
    </xf>
    <xf numFmtId="0" fontId="0" fillId="5" borderId="20" xfId="0" applyFill="1" applyBorder="1" applyAlignment="1">
      <alignment horizontal="left" vertical="center" wrapText="1"/>
    </xf>
    <xf numFmtId="0" fontId="0" fillId="5" borderId="20" xfId="0" applyFill="1" applyBorder="1" applyAlignment="1">
      <alignment horizontal="center" vertical="center" wrapText="1"/>
    </xf>
    <xf numFmtId="0" fontId="0" fillId="2" borderId="20" xfId="0" applyFill="1" applyBorder="1" applyAlignment="1">
      <alignment vertical="center" wrapText="1"/>
    </xf>
    <xf numFmtId="0" fontId="12" fillId="3" borderId="21" xfId="8" quotePrefix="1" applyNumberFormat="1" applyFont="1" applyFill="1" applyBorder="1" applyAlignment="1" applyProtection="1">
      <alignment horizontal="left" vertical="top" wrapText="1"/>
      <protection locked="0"/>
    </xf>
    <xf numFmtId="0" fontId="12" fillId="3" borderId="21" xfId="8" applyNumberFormat="1" applyFont="1" applyFill="1" applyBorder="1" applyAlignment="1" applyProtection="1">
      <alignment horizontal="left" vertical="top" wrapText="1"/>
      <protection locked="0"/>
    </xf>
    <xf numFmtId="0" fontId="4" fillId="2" borderId="21" xfId="8" quotePrefix="1" applyNumberFormat="1" applyFont="1" applyFill="1" applyBorder="1" applyAlignment="1" applyProtection="1">
      <alignment horizontal="left" vertical="top" wrapText="1"/>
      <protection locked="0"/>
    </xf>
    <xf numFmtId="44" fontId="0" fillId="0" borderId="21" xfId="0" applyNumberFormat="1" applyBorder="1"/>
    <xf numFmtId="0" fontId="1" fillId="3" borderId="21" xfId="0" applyFont="1" applyFill="1" applyBorder="1"/>
    <xf numFmtId="44" fontId="1" fillId="3" borderId="21" xfId="0" applyNumberFormat="1" applyFont="1" applyFill="1" applyBorder="1"/>
    <xf numFmtId="44" fontId="9" fillId="0" borderId="5" xfId="12" applyFont="1" applyBorder="1" applyAlignment="1">
      <alignment horizontal="center" vertical="center" wrapText="1"/>
    </xf>
    <xf numFmtId="1" fontId="0" fillId="0" borderId="21" xfId="0" applyNumberFormat="1" applyBorder="1" applyAlignment="1">
      <alignment horizontal="center" vertical="center"/>
    </xf>
    <xf numFmtId="0" fontId="1" fillId="3" borderId="0" xfId="0" applyFont="1" applyFill="1"/>
    <xf numFmtId="165" fontId="0" fillId="0" borderId="0" xfId="0" applyNumberFormat="1"/>
    <xf numFmtId="164" fontId="0" fillId="0" borderId="0" xfId="0" applyNumberFormat="1"/>
    <xf numFmtId="0" fontId="1" fillId="7" borderId="0" xfId="0" applyFont="1" applyFill="1"/>
    <xf numFmtId="0" fontId="17" fillId="8" borderId="21" xfId="0" applyFont="1" applyFill="1" applyBorder="1" applyAlignment="1">
      <alignment horizontal="center" vertical="center" wrapText="1"/>
    </xf>
    <xf numFmtId="0" fontId="17" fillId="8" borderId="23" xfId="0" applyFont="1" applyFill="1" applyBorder="1" applyAlignment="1">
      <alignment horizontal="center" vertical="center" wrapText="1"/>
    </xf>
    <xf numFmtId="0" fontId="17" fillId="8" borderId="22" xfId="0" applyFont="1" applyFill="1" applyBorder="1" applyAlignment="1">
      <alignment horizontal="center" vertical="center" wrapText="1"/>
    </xf>
    <xf numFmtId="0" fontId="1" fillId="3" borderId="20" xfId="0" applyFont="1" applyFill="1" applyBorder="1" applyAlignment="1">
      <alignment vertical="center" wrapText="1"/>
    </xf>
    <xf numFmtId="0" fontId="1" fillId="3" borderId="20" xfId="0" applyFont="1" applyFill="1" applyBorder="1" applyAlignment="1">
      <alignment horizontal="center" vertical="center" wrapText="1"/>
    </xf>
    <xf numFmtId="0" fontId="1" fillId="3" borderId="6" xfId="0" applyFont="1" applyFill="1" applyBorder="1" applyAlignment="1">
      <alignment vertical="center" wrapText="1"/>
    </xf>
    <xf numFmtId="44" fontId="0" fillId="0" borderId="5" xfId="0" applyNumberFormat="1" applyBorder="1"/>
    <xf numFmtId="44" fontId="1" fillId="3" borderId="5" xfId="0" applyNumberFormat="1" applyFont="1" applyFill="1" applyBorder="1"/>
    <xf numFmtId="0" fontId="13" fillId="0" borderId="0" xfId="0" applyFont="1"/>
    <xf numFmtId="0" fontId="18" fillId="0" borderId="0" xfId="0" applyFont="1" applyAlignment="1">
      <alignment horizontal="left" vertical="center" indent="1"/>
    </xf>
    <xf numFmtId="0" fontId="0" fillId="0" borderId="0" xfId="0" applyAlignment="1">
      <alignment vertical="center" wrapText="1"/>
    </xf>
    <xf numFmtId="4" fontId="0" fillId="0" borderId="0" xfId="0" applyNumberFormat="1" applyAlignment="1">
      <alignment vertical="center"/>
    </xf>
    <xf numFmtId="165" fontId="0" fillId="0" borderId="5" xfId="0" applyNumberFormat="1" applyBorder="1"/>
    <xf numFmtId="0" fontId="0" fillId="6" borderId="0" xfId="0" applyFill="1"/>
    <xf numFmtId="165" fontId="0" fillId="6" borderId="0" xfId="0" applyNumberFormat="1" applyFill="1"/>
    <xf numFmtId="0" fontId="1" fillId="3" borderId="5" xfId="0" applyFont="1" applyFill="1" applyBorder="1"/>
    <xf numFmtId="165" fontId="1" fillId="3" borderId="5" xfId="0" applyNumberFormat="1" applyFont="1" applyFill="1" applyBorder="1"/>
    <xf numFmtId="43" fontId="0" fillId="0" borderId="0" xfId="13" applyFont="1" applyFill="1"/>
    <xf numFmtId="0" fontId="15" fillId="0" borderId="0" xfId="0" applyFont="1"/>
    <xf numFmtId="0" fontId="16" fillId="9" borderId="24" xfId="0" applyFont="1" applyFill="1" applyBorder="1"/>
    <xf numFmtId="0" fontId="16" fillId="9" borderId="25" xfId="0" applyFont="1" applyFill="1" applyBorder="1"/>
    <xf numFmtId="0" fontId="19" fillId="10" borderId="26" xfId="0" applyFont="1" applyFill="1" applyBorder="1" applyAlignment="1">
      <alignment wrapText="1"/>
    </xf>
    <xf numFmtId="0" fontId="19" fillId="10" borderId="27" xfId="0" applyFont="1" applyFill="1" applyBorder="1" applyAlignment="1">
      <alignment wrapText="1"/>
    </xf>
    <xf numFmtId="0" fontId="19" fillId="11" borderId="26" xfId="0" applyFont="1" applyFill="1" applyBorder="1" applyAlignment="1">
      <alignment wrapText="1"/>
    </xf>
    <xf numFmtId="0" fontId="19" fillId="11" borderId="27" xfId="0" applyFont="1" applyFill="1" applyBorder="1" applyAlignment="1">
      <alignment wrapText="1"/>
    </xf>
    <xf numFmtId="0" fontId="19" fillId="10" borderId="28" xfId="0" applyFont="1" applyFill="1" applyBorder="1" applyAlignment="1">
      <alignment wrapText="1"/>
    </xf>
    <xf numFmtId="0" fontId="19" fillId="10" borderId="0" xfId="0" applyFont="1" applyFill="1" applyAlignment="1">
      <alignment wrapText="1"/>
    </xf>
    <xf numFmtId="0" fontId="16" fillId="12" borderId="21" xfId="0" applyFont="1" applyFill="1" applyBorder="1"/>
    <xf numFmtId="0" fontId="16" fillId="12" borderId="23" xfId="0" applyFont="1" applyFill="1" applyBorder="1"/>
    <xf numFmtId="0" fontId="15" fillId="13" borderId="29" xfId="0" applyFont="1" applyFill="1" applyBorder="1"/>
    <xf numFmtId="0" fontId="15" fillId="13" borderId="30" xfId="0" applyFont="1" applyFill="1" applyBorder="1"/>
    <xf numFmtId="0" fontId="15" fillId="14" borderId="29" xfId="0" applyFont="1" applyFill="1" applyBorder="1"/>
    <xf numFmtId="0" fontId="15" fillId="14" borderId="30" xfId="0" applyFont="1" applyFill="1" applyBorder="1"/>
    <xf numFmtId="0" fontId="15" fillId="14" borderId="31" xfId="0" applyFont="1" applyFill="1" applyBorder="1"/>
    <xf numFmtId="0" fontId="15" fillId="14" borderId="32" xfId="0" applyFont="1" applyFill="1" applyBorder="1"/>
    <xf numFmtId="0" fontId="16" fillId="15" borderId="5" xfId="0" applyFont="1" applyFill="1" applyBorder="1" applyAlignment="1">
      <alignment wrapText="1"/>
    </xf>
    <xf numFmtId="0" fontId="16" fillId="15" borderId="7" xfId="0" applyFont="1" applyFill="1" applyBorder="1" applyAlignment="1">
      <alignment wrapText="1"/>
    </xf>
    <xf numFmtId="0" fontId="16" fillId="15" borderId="6" xfId="0" applyFont="1" applyFill="1" applyBorder="1" applyAlignment="1">
      <alignment wrapText="1"/>
    </xf>
    <xf numFmtId="0" fontId="15" fillId="0" borderId="10" xfId="0" applyFont="1" applyBorder="1" applyAlignment="1">
      <alignment wrapText="1"/>
    </xf>
    <xf numFmtId="8" fontId="15" fillId="0" borderId="7" xfId="0" applyNumberFormat="1" applyFont="1" applyBorder="1" applyAlignment="1">
      <alignment wrapText="1"/>
    </xf>
    <xf numFmtId="0" fontId="16" fillId="15" borderId="0" xfId="0" applyFont="1" applyFill="1" applyAlignment="1">
      <alignment wrapText="1"/>
    </xf>
    <xf numFmtId="8" fontId="16" fillId="15" borderId="0" xfId="0" applyNumberFormat="1" applyFont="1" applyFill="1" applyAlignment="1">
      <alignment wrapText="1"/>
    </xf>
    <xf numFmtId="0" fontId="14" fillId="16" borderId="21" xfId="0" applyFont="1" applyFill="1" applyBorder="1"/>
    <xf numFmtId="0" fontId="14" fillId="16" borderId="23" xfId="0" applyFont="1" applyFill="1" applyBorder="1"/>
    <xf numFmtId="0" fontId="20" fillId="0" borderId="29" xfId="0" applyFont="1" applyBorder="1"/>
    <xf numFmtId="0" fontId="20" fillId="0" borderId="30" xfId="0" applyFont="1" applyBorder="1"/>
    <xf numFmtId="0" fontId="20" fillId="17" borderId="29" xfId="0" applyFont="1" applyFill="1" applyBorder="1"/>
    <xf numFmtId="165" fontId="15" fillId="0" borderId="0" xfId="0" applyNumberFormat="1" applyFont="1"/>
    <xf numFmtId="49" fontId="4" fillId="2" borderId="0" xfId="8" quotePrefix="1" applyNumberFormat="1" applyFont="1" applyFill="1" applyBorder="1" applyAlignment="1" applyProtection="1">
      <alignment vertical="center"/>
      <protection locked="0"/>
    </xf>
    <xf numFmtId="0" fontId="0" fillId="5" borderId="5" xfId="0" applyFill="1" applyBorder="1" applyAlignment="1">
      <alignment horizontal="left" vertical="center" wrapText="1"/>
    </xf>
    <xf numFmtId="0" fontId="0" fillId="5" borderId="15" xfId="0" applyFill="1" applyBorder="1" applyAlignment="1">
      <alignment horizontal="left" vertical="center" wrapText="1"/>
    </xf>
    <xf numFmtId="0" fontId="0" fillId="5" borderId="16" xfId="0" applyFill="1" applyBorder="1" applyAlignment="1">
      <alignment horizontal="left" vertical="center" wrapText="1"/>
    </xf>
    <xf numFmtId="0" fontId="0" fillId="5" borderId="17" xfId="0" applyFill="1" applyBorder="1" applyAlignment="1">
      <alignment horizontal="left" vertical="center" wrapText="1"/>
    </xf>
    <xf numFmtId="0" fontId="0" fillId="5" borderId="20" xfId="0" applyFill="1" applyBorder="1" applyAlignment="1">
      <alignment horizontal="center" vertical="center" wrapText="1"/>
    </xf>
    <xf numFmtId="0" fontId="0" fillId="5" borderId="6" xfId="0" applyFill="1" applyBorder="1" applyAlignment="1">
      <alignment horizontal="center" vertical="center" wrapText="1"/>
    </xf>
    <xf numFmtId="0" fontId="0" fillId="5" borderId="3" xfId="0" applyFill="1" applyBorder="1" applyAlignment="1">
      <alignment horizontal="center" vertical="center" wrapText="1"/>
    </xf>
    <xf numFmtId="44" fontId="0" fillId="5" borderId="20" xfId="0" applyNumberFormat="1" applyFill="1" applyBorder="1" applyAlignment="1">
      <alignment horizontal="center" vertical="center" wrapText="1"/>
    </xf>
    <xf numFmtId="44" fontId="0" fillId="5" borderId="6" xfId="0" applyNumberFormat="1" applyFill="1" applyBorder="1" applyAlignment="1">
      <alignment horizontal="center" vertical="center" wrapText="1"/>
    </xf>
    <xf numFmtId="44" fontId="0" fillId="5" borderId="3" xfId="0" applyNumberFormat="1" applyFill="1" applyBorder="1" applyAlignment="1">
      <alignment horizontal="center" vertical="center" wrapText="1"/>
    </xf>
    <xf numFmtId="49" fontId="4" fillId="2" borderId="20" xfId="8" quotePrefix="1" applyNumberFormat="1" applyFont="1" applyFill="1" applyBorder="1" applyAlignment="1" applyProtection="1">
      <alignment horizontal="left" vertical="center" wrapText="1"/>
      <protection locked="0"/>
    </xf>
    <xf numFmtId="49" fontId="4" fillId="2" borderId="6" xfId="8" quotePrefix="1" applyNumberFormat="1" applyFont="1" applyFill="1" applyBorder="1" applyAlignment="1" applyProtection="1">
      <alignment horizontal="left" vertical="center" wrapText="1"/>
      <protection locked="0"/>
    </xf>
    <xf numFmtId="49" fontId="4" fillId="2" borderId="3" xfId="8" quotePrefix="1" applyNumberFormat="1" applyFont="1" applyFill="1" applyBorder="1" applyAlignment="1" applyProtection="1">
      <alignment horizontal="left" vertical="center" wrapText="1"/>
      <protection locked="0"/>
    </xf>
    <xf numFmtId="49" fontId="4" fillId="2" borderId="15" xfId="8" quotePrefix="1" applyNumberFormat="1" applyFont="1" applyFill="1" applyBorder="1" applyAlignment="1" applyProtection="1">
      <alignment horizontal="left" vertical="center" wrapText="1"/>
      <protection locked="0"/>
    </xf>
    <xf numFmtId="49" fontId="4" fillId="2" borderId="16" xfId="8" quotePrefix="1" applyNumberFormat="1" applyFont="1" applyFill="1" applyBorder="1" applyAlignment="1" applyProtection="1">
      <alignment horizontal="left" vertical="center" wrapText="1"/>
      <protection locked="0"/>
    </xf>
    <xf numFmtId="49" fontId="4" fillId="2" borderId="17" xfId="8" quotePrefix="1" applyNumberFormat="1" applyFont="1" applyFill="1" applyBorder="1" applyAlignment="1" applyProtection="1">
      <alignment horizontal="left" vertical="center" wrapText="1"/>
      <protection locked="0"/>
    </xf>
    <xf numFmtId="0" fontId="0" fillId="2" borderId="20" xfId="0" applyFill="1" applyBorder="1" applyAlignment="1">
      <alignment horizontal="center" vertical="center" wrapText="1"/>
    </xf>
    <xf numFmtId="0" fontId="0" fillId="2" borderId="6" xfId="0" applyFill="1" applyBorder="1" applyAlignment="1">
      <alignment horizontal="center" vertical="center" wrapText="1"/>
    </xf>
    <xf numFmtId="0" fontId="0" fillId="2" borderId="3" xfId="0" applyFill="1" applyBorder="1" applyAlignment="1">
      <alignment horizontal="center" vertical="center" wrapText="1"/>
    </xf>
    <xf numFmtId="44" fontId="0" fillId="2" borderId="20" xfId="12" applyFont="1" applyFill="1" applyBorder="1" applyAlignment="1">
      <alignment horizontal="center" vertical="center"/>
    </xf>
    <xf numFmtId="44" fontId="0" fillId="2" borderId="6" xfId="12" applyFont="1" applyFill="1" applyBorder="1" applyAlignment="1">
      <alignment horizontal="center" vertical="center"/>
    </xf>
    <xf numFmtId="44" fontId="0" fillId="2" borderId="3" xfId="12" applyFont="1" applyFill="1" applyBorder="1" applyAlignment="1">
      <alignment horizontal="center" vertical="center"/>
    </xf>
    <xf numFmtId="0" fontId="0" fillId="2" borderId="20" xfId="0" applyFill="1" applyBorder="1" applyAlignment="1">
      <alignment horizontal="left" vertical="center" wrapText="1"/>
    </xf>
    <xf numFmtId="0" fontId="0" fillId="2" borderId="6" xfId="0" applyFill="1" applyBorder="1" applyAlignment="1">
      <alignment horizontal="left" vertical="center" wrapText="1"/>
    </xf>
    <xf numFmtId="0" fontId="0" fillId="2" borderId="15" xfId="0" applyFill="1" applyBorder="1" applyAlignment="1">
      <alignment horizontal="left" vertical="center" wrapText="1"/>
    </xf>
    <xf numFmtId="0" fontId="0" fillId="2" borderId="16" xfId="0" applyFill="1" applyBorder="1" applyAlignment="1">
      <alignment horizontal="left" vertical="center" wrapText="1"/>
    </xf>
    <xf numFmtId="0" fontId="0" fillId="2" borderId="17" xfId="0" applyFill="1" applyBorder="1" applyAlignment="1">
      <alignment horizontal="left" vertical="center" wrapText="1"/>
    </xf>
    <xf numFmtId="44" fontId="0" fillId="2" borderId="20" xfId="0" applyNumberFormat="1" applyFill="1" applyBorder="1" applyAlignment="1">
      <alignment horizontal="center" vertical="center" wrapText="1"/>
    </xf>
    <xf numFmtId="44" fontId="0" fillId="2" borderId="6" xfId="0" applyNumberFormat="1" applyFill="1" applyBorder="1" applyAlignment="1">
      <alignment horizontal="center" vertical="center" wrapText="1"/>
    </xf>
    <xf numFmtId="44" fontId="0" fillId="2" borderId="3" xfId="0" applyNumberFormat="1" applyFill="1" applyBorder="1" applyAlignment="1">
      <alignment horizontal="center" vertical="center" wrapText="1"/>
    </xf>
    <xf numFmtId="0" fontId="0" fillId="2" borderId="3" xfId="0" applyFill="1" applyBorder="1" applyAlignment="1">
      <alignment horizontal="left" vertical="center" wrapText="1"/>
    </xf>
    <xf numFmtId="0" fontId="0" fillId="5" borderId="20" xfId="0" applyFill="1" applyBorder="1" applyAlignment="1">
      <alignment horizontal="left" vertical="center" wrapText="1"/>
    </xf>
    <xf numFmtId="0" fontId="0" fillId="5" borderId="6" xfId="0" applyFill="1" applyBorder="1" applyAlignment="1">
      <alignment horizontal="left" vertical="center" wrapText="1"/>
    </xf>
    <xf numFmtId="0" fontId="0" fillId="5" borderId="3" xfId="0" applyFill="1" applyBorder="1" applyAlignment="1">
      <alignment horizontal="left" vertical="center" wrapText="1"/>
    </xf>
    <xf numFmtId="0" fontId="0" fillId="2" borderId="5" xfId="0" applyFill="1" applyBorder="1" applyAlignment="1">
      <alignment horizontal="left" vertical="center" wrapText="1"/>
    </xf>
    <xf numFmtId="44" fontId="4" fillId="2" borderId="20" xfId="0" applyNumberFormat="1" applyFont="1" applyFill="1" applyBorder="1" applyAlignment="1">
      <alignment horizontal="center" vertical="center" wrapText="1"/>
    </xf>
    <xf numFmtId="44" fontId="4" fillId="2" borderId="6" xfId="0" applyNumberFormat="1" applyFont="1" applyFill="1" applyBorder="1" applyAlignment="1">
      <alignment horizontal="center" vertical="center" wrapText="1"/>
    </xf>
    <xf numFmtId="44" fontId="4" fillId="2" borderId="3" xfId="0" applyNumberFormat="1" applyFont="1" applyFill="1" applyBorder="1" applyAlignment="1">
      <alignment horizontal="center" vertical="center" wrapText="1"/>
    </xf>
    <xf numFmtId="0" fontId="0" fillId="5" borderId="20" xfId="0" applyFill="1" applyBorder="1" applyAlignment="1">
      <alignment horizontal="center" wrapText="1"/>
    </xf>
    <xf numFmtId="0" fontId="0" fillId="5" borderId="3" xfId="0" applyFill="1" applyBorder="1" applyAlignment="1">
      <alignment horizontal="center" wrapText="1"/>
    </xf>
    <xf numFmtId="49" fontId="4" fillId="5" borderId="20" xfId="8" quotePrefix="1" applyNumberFormat="1" applyFont="1" applyFill="1" applyBorder="1" applyAlignment="1" applyProtection="1">
      <alignment horizontal="left" vertical="center" wrapText="1"/>
      <protection locked="0"/>
    </xf>
    <xf numFmtId="49" fontId="4" fillId="5" borderId="3" xfId="8" quotePrefix="1" applyNumberFormat="1" applyFont="1" applyFill="1" applyBorder="1" applyAlignment="1" applyProtection="1">
      <alignment horizontal="left" vertical="center" wrapText="1"/>
      <protection locked="0"/>
    </xf>
    <xf numFmtId="49" fontId="4" fillId="5" borderId="15" xfId="8" quotePrefix="1" applyNumberFormat="1" applyFont="1" applyFill="1" applyBorder="1" applyAlignment="1" applyProtection="1">
      <alignment horizontal="left" vertical="center" wrapText="1"/>
      <protection locked="0"/>
    </xf>
    <xf numFmtId="49" fontId="4" fillId="5" borderId="17" xfId="8" quotePrefix="1" applyNumberFormat="1" applyFont="1" applyFill="1" applyBorder="1" applyAlignment="1" applyProtection="1">
      <alignment horizontal="left" vertical="center" wrapText="1"/>
      <protection locked="0"/>
    </xf>
    <xf numFmtId="44" fontId="4" fillId="0" borderId="20" xfId="12" applyFont="1" applyFill="1" applyBorder="1" applyAlignment="1" applyProtection="1">
      <alignment horizontal="center" vertical="center" wrapText="1"/>
    </xf>
    <xf numFmtId="44" fontId="4" fillId="0" borderId="3" xfId="12" applyFont="1" applyFill="1" applyBorder="1" applyAlignment="1" applyProtection="1">
      <alignment horizontal="center" vertical="center" wrapText="1"/>
    </xf>
    <xf numFmtId="0" fontId="0" fillId="2" borderId="6" xfId="0" quotePrefix="1" applyFill="1" applyBorder="1" applyAlignment="1">
      <alignment horizontal="left" vertical="center" wrapText="1"/>
    </xf>
    <xf numFmtId="0" fontId="0" fillId="5" borderId="8" xfId="0" applyFill="1" applyBorder="1" applyAlignment="1">
      <alignment horizontal="left" vertical="center" wrapText="1"/>
    </xf>
    <xf numFmtId="0" fontId="0" fillId="5" borderId="9" xfId="0" applyFill="1" applyBorder="1" applyAlignment="1">
      <alignment horizontal="left" vertical="center" wrapText="1"/>
    </xf>
    <xf numFmtId="0" fontId="0" fillId="2" borderId="8" xfId="0" applyFill="1" applyBorder="1" applyAlignment="1">
      <alignment horizontal="left" vertical="center" wrapText="1"/>
    </xf>
    <xf numFmtId="0" fontId="0" fillId="2" borderId="9" xfId="0" applyFill="1" applyBorder="1" applyAlignment="1">
      <alignment horizontal="left" vertical="center" wrapText="1"/>
    </xf>
    <xf numFmtId="0" fontId="0" fillId="2" borderId="14" xfId="0" applyFill="1" applyBorder="1" applyAlignment="1">
      <alignment horizontal="left" vertical="center" wrapText="1"/>
    </xf>
    <xf numFmtId="0" fontId="0" fillId="2" borderId="10" xfId="0" applyFill="1" applyBorder="1" applyAlignment="1">
      <alignment horizontal="left" vertical="center" wrapText="1"/>
    </xf>
    <xf numFmtId="0" fontId="0" fillId="2" borderId="5" xfId="0" applyFill="1" applyBorder="1" applyAlignment="1">
      <alignment horizontal="center" vertical="center" wrapText="1"/>
    </xf>
    <xf numFmtId="0" fontId="0" fillId="5" borderId="5" xfId="0" applyFill="1" applyBorder="1" applyAlignment="1">
      <alignment horizontal="center" vertical="center" wrapText="1"/>
    </xf>
    <xf numFmtId="0" fontId="0" fillId="5" borderId="15" xfId="0" applyFill="1" applyBorder="1" applyAlignment="1">
      <alignment horizontal="left" wrapText="1"/>
    </xf>
    <xf numFmtId="0" fontId="0" fillId="5" borderId="17" xfId="0" applyFill="1" applyBorder="1" applyAlignment="1">
      <alignment horizontal="left" wrapText="1"/>
    </xf>
  </cellXfs>
  <cellStyles count="14">
    <cellStyle name="Comma" xfId="13" builtinId="3"/>
    <cellStyle name="Comma 2" xfId="2" xr:uid="{61EDF842-DD14-457A-B883-CC223C8E7968}"/>
    <cellStyle name="Currency" xfId="12" builtinId="4"/>
    <cellStyle name="Dot_Table" xfId="8" xr:uid="{963DAE90-756C-422A-8710-279D4B1D87F7}"/>
    <cellStyle name="Explanatory Text 2" xfId="4" xr:uid="{91ED1B9B-DD90-427C-A621-2211983BA517}"/>
    <cellStyle name="Full_Table" xfId="10" xr:uid="{6976CDE1-7680-4650-AE91-A6D94185845E}"/>
    <cellStyle name="Heading 2 2" xfId="3" xr:uid="{AE072192-7295-47DE-8607-CD5E60F77913}"/>
    <cellStyle name="Heading 4 2" xfId="5" xr:uid="{D6C08658-4227-4344-88BF-C66C32396EA2}"/>
    <cellStyle name="Normal" xfId="0" builtinId="0"/>
    <cellStyle name="Normal 2" xfId="1" xr:uid="{3E47514F-A2E9-4ABE-8221-BADBA4206087}"/>
    <cellStyle name="Normal 3" xfId="9" xr:uid="{A27C6770-AEA8-4768-AF51-08E9AB3494EB}"/>
    <cellStyle name="Normal 3 2" xfId="6" xr:uid="{A7E10D86-109A-41D1-B10E-E637F2160902}"/>
    <cellStyle name="Normal 3 3" xfId="11" xr:uid="{1E1F01DE-B5C4-4CA3-A06F-63BDEC809435}"/>
    <cellStyle name="Table_Header" xfId="7" xr:uid="{B6D19CF1-F187-4B90-8D96-FA8CD063D82F}"/>
  </cellStyles>
  <dxfs count="5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2.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zsaylan/Downloads/ION_EMEA_Ext_PPP_V87_00_ext1.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zsaylan/Desktop/Du%20Presales/2021/First%20PO%20PREPARATION/DXB%20Region/IIB%20BoQ%20_Draft%20DXB%20Region_v1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PR GPP Pricing Tool"/>
      <sheetName val="GPP Products Information"/>
      <sheetName val="Cover"/>
      <sheetName val="Products Information"/>
      <sheetName val="ALL"/>
      <sheetName val="Note on Temporary Items"/>
      <sheetName val="Search"/>
      <sheetName val="Currencies"/>
      <sheetName val="GPP"/>
      <sheetName val="GPP BOM"/>
      <sheetName val="SSP &amp; SRS Pricing"/>
      <sheetName val="Care Pricing"/>
      <sheetName val="Care SLA Availability Matrix"/>
      <sheetName val="Log"/>
      <sheetName val="Currencies - Full"/>
      <sheetName val="Lists"/>
      <sheetName val="CRM Data"/>
      <sheetName val="Navigator"/>
      <sheetName val="GPP Lists"/>
    </sheetNames>
    <sheetDataSet>
      <sheetData sheetId="0"/>
      <sheetData sheetId="1"/>
      <sheetData sheetId="2">
        <row r="11">
          <cell r="C11" t="str">
            <v>EMEA Extended PPP</v>
          </cell>
        </row>
        <row r="16">
          <cell r="E16" t="str">
            <v>V87_00_ext1</v>
          </cell>
          <cell r="F16" t="str">
            <v>ION_EMEA_Ext_PPP_V87_00_ext1.xlsb</v>
          </cell>
          <cell r="G16">
            <v>44100</v>
          </cell>
        </row>
      </sheetData>
      <sheetData sheetId="3"/>
      <sheetData sheetId="4">
        <row r="1">
          <cell r="A1"/>
        </row>
      </sheetData>
      <sheetData sheetId="5"/>
      <sheetData sheetId="6">
        <row r="4">
          <cell r="M4">
            <v>0</v>
          </cell>
          <cell r="N4">
            <v>1</v>
          </cell>
          <cell r="O4" t="str">
            <v>USD</v>
          </cell>
        </row>
      </sheetData>
      <sheetData sheetId="7">
        <row r="3">
          <cell r="A3" t="str">
            <v>Currency</v>
          </cell>
          <cell r="B3" t="str">
            <v>Standard</v>
          </cell>
          <cell r="C3" t="str">
            <v>Rate for Offer</v>
          </cell>
        </row>
        <row r="4">
          <cell r="A4" t="str">
            <v>USD</v>
          </cell>
          <cell r="B4" t="b">
            <v>1</v>
          </cell>
          <cell r="C4">
            <v>1</v>
          </cell>
        </row>
        <row r="5">
          <cell r="A5" t="str">
            <v>EUR</v>
          </cell>
          <cell r="B5" t="b">
            <v>1</v>
          </cell>
          <cell r="C5">
            <v>0.84899999999999998</v>
          </cell>
        </row>
        <row r="6">
          <cell r="A6" t="str">
            <v>AED</v>
          </cell>
          <cell r="B6" t="b">
            <v>1</v>
          </cell>
          <cell r="C6">
            <v>3.73</v>
          </cell>
        </row>
        <row r="7">
          <cell r="A7" t="str">
            <v>AUD</v>
          </cell>
          <cell r="B7" t="b">
            <v>1</v>
          </cell>
          <cell r="C7">
            <v>1.393</v>
          </cell>
        </row>
        <row r="8">
          <cell r="A8" t="str">
            <v>CAD</v>
          </cell>
          <cell r="B8" t="b">
            <v>1</v>
          </cell>
          <cell r="C8">
            <v>1.34</v>
          </cell>
        </row>
        <row r="9">
          <cell r="A9" t="str">
            <v>CHF</v>
          </cell>
          <cell r="B9" t="b">
            <v>1</v>
          </cell>
          <cell r="C9">
            <v>0.91</v>
          </cell>
        </row>
        <row r="10">
          <cell r="A10" t="str">
            <v>CNY</v>
          </cell>
          <cell r="B10" t="b">
            <v>1</v>
          </cell>
          <cell r="C10">
            <v>7.17</v>
          </cell>
        </row>
        <row r="11">
          <cell r="A11" t="str">
            <v>DKK</v>
          </cell>
          <cell r="B11" t="b">
            <v>1</v>
          </cell>
          <cell r="C11">
            <v>6.31</v>
          </cell>
        </row>
        <row r="12">
          <cell r="A12" t="str">
            <v>GBP</v>
          </cell>
          <cell r="B12" t="b">
            <v>1</v>
          </cell>
          <cell r="C12">
            <v>0.78600000000000003</v>
          </cell>
        </row>
        <row r="13">
          <cell r="A13" t="str">
            <v>HKD</v>
          </cell>
          <cell r="B13" t="b">
            <v>1</v>
          </cell>
          <cell r="C13">
            <v>7.88</v>
          </cell>
        </row>
        <row r="14">
          <cell r="A14" t="str">
            <v>JPY</v>
          </cell>
          <cell r="B14" t="b">
            <v>1</v>
          </cell>
          <cell r="C14">
            <v>106</v>
          </cell>
        </row>
        <row r="15">
          <cell r="A15" t="str">
            <v>KRW</v>
          </cell>
          <cell r="B15" t="b">
            <v>1</v>
          </cell>
          <cell r="C15">
            <v>1180</v>
          </cell>
        </row>
        <row r="16">
          <cell r="A16" t="str">
            <v>NOK</v>
          </cell>
          <cell r="B16" t="b">
            <v>1</v>
          </cell>
          <cell r="C16">
            <v>9.27</v>
          </cell>
        </row>
        <row r="17">
          <cell r="A17" t="str">
            <v>NZD</v>
          </cell>
          <cell r="B17" t="b">
            <v>1</v>
          </cell>
          <cell r="C17">
            <v>1.5</v>
          </cell>
        </row>
        <row r="18">
          <cell r="A18" t="str">
            <v>PLN</v>
          </cell>
          <cell r="B18" t="b">
            <v>1</v>
          </cell>
          <cell r="C18">
            <v>3.83</v>
          </cell>
        </row>
        <row r="19">
          <cell r="A19" t="str">
            <v>SAR</v>
          </cell>
          <cell r="B19" t="b">
            <v>1</v>
          </cell>
          <cell r="C19">
            <v>3.81</v>
          </cell>
        </row>
        <row r="20">
          <cell r="A20" t="str">
            <v>SEK</v>
          </cell>
          <cell r="B20" t="b">
            <v>1</v>
          </cell>
          <cell r="C20">
            <v>8.92</v>
          </cell>
        </row>
        <row r="21">
          <cell r="A21" t="str">
            <v>SGD</v>
          </cell>
          <cell r="B21" t="b">
            <v>1</v>
          </cell>
          <cell r="C21">
            <v>1.37</v>
          </cell>
        </row>
        <row r="22">
          <cell r="A22" t="str">
            <v>TWD</v>
          </cell>
          <cell r="B22" t="b">
            <v>1</v>
          </cell>
          <cell r="C22">
            <v>29.3</v>
          </cell>
        </row>
        <row r="23">
          <cell r="A23" t="str">
            <v>AFN</v>
          </cell>
          <cell r="B23" t="b">
            <v>0</v>
          </cell>
        </row>
        <row r="24">
          <cell r="A24" t="str">
            <v>ALL</v>
          </cell>
          <cell r="B24" t="b">
            <v>0</v>
          </cell>
        </row>
        <row r="25">
          <cell r="A25" t="str">
            <v>AMD</v>
          </cell>
          <cell r="B25" t="b">
            <v>0</v>
          </cell>
        </row>
        <row r="26">
          <cell r="A26" t="str">
            <v>ANG</v>
          </cell>
          <cell r="B26" t="b">
            <v>0</v>
          </cell>
        </row>
        <row r="27">
          <cell r="A27" t="str">
            <v>AOA</v>
          </cell>
          <cell r="B27" t="b">
            <v>0</v>
          </cell>
        </row>
        <row r="28">
          <cell r="A28" t="str">
            <v>ARS</v>
          </cell>
          <cell r="B28" t="b">
            <v>0</v>
          </cell>
        </row>
        <row r="29">
          <cell r="A29" t="str">
            <v>ATS</v>
          </cell>
          <cell r="B29" t="b">
            <v>0</v>
          </cell>
        </row>
        <row r="30">
          <cell r="A30" t="str">
            <v>AWG</v>
          </cell>
          <cell r="B30" t="b">
            <v>0</v>
          </cell>
        </row>
        <row r="31">
          <cell r="A31" t="str">
            <v>AZN</v>
          </cell>
          <cell r="B31" t="b">
            <v>0</v>
          </cell>
        </row>
        <row r="32">
          <cell r="A32" t="str">
            <v>BAM</v>
          </cell>
          <cell r="B32" t="b">
            <v>0</v>
          </cell>
        </row>
        <row r="33">
          <cell r="A33" t="str">
            <v>BBD</v>
          </cell>
          <cell r="B33" t="b">
            <v>0</v>
          </cell>
        </row>
        <row r="34">
          <cell r="A34" t="str">
            <v>BDT</v>
          </cell>
          <cell r="B34" t="b">
            <v>0</v>
          </cell>
        </row>
        <row r="35">
          <cell r="A35" t="str">
            <v>BEF</v>
          </cell>
          <cell r="B35" t="b">
            <v>0</v>
          </cell>
        </row>
        <row r="36">
          <cell r="A36" t="str">
            <v>BGN</v>
          </cell>
          <cell r="B36" t="b">
            <v>0</v>
          </cell>
        </row>
        <row r="37">
          <cell r="A37" t="str">
            <v>BHD</v>
          </cell>
          <cell r="B37" t="b">
            <v>0</v>
          </cell>
        </row>
        <row r="38">
          <cell r="A38" t="str">
            <v>BIF</v>
          </cell>
          <cell r="B38" t="b">
            <v>0</v>
          </cell>
        </row>
        <row r="39">
          <cell r="A39" t="str">
            <v>BMD</v>
          </cell>
          <cell r="B39" t="b">
            <v>0</v>
          </cell>
        </row>
        <row r="40">
          <cell r="A40" t="str">
            <v>BND</v>
          </cell>
          <cell r="B40" t="b">
            <v>0</v>
          </cell>
        </row>
        <row r="41">
          <cell r="A41" t="str">
            <v>BOB</v>
          </cell>
          <cell r="B41" t="b">
            <v>0</v>
          </cell>
        </row>
        <row r="42">
          <cell r="A42" t="str">
            <v>BRL</v>
          </cell>
          <cell r="B42" t="b">
            <v>0</v>
          </cell>
        </row>
        <row r="43">
          <cell r="A43" t="str">
            <v>BSD</v>
          </cell>
          <cell r="B43" t="b">
            <v>0</v>
          </cell>
        </row>
        <row r="44">
          <cell r="A44" t="str">
            <v>BTN</v>
          </cell>
          <cell r="B44" t="b">
            <v>0</v>
          </cell>
        </row>
        <row r="45">
          <cell r="A45" t="str">
            <v>BWP</v>
          </cell>
          <cell r="B45" t="b">
            <v>0</v>
          </cell>
        </row>
        <row r="46">
          <cell r="A46" t="str">
            <v>BYN</v>
          </cell>
          <cell r="B46" t="b">
            <v>0</v>
          </cell>
        </row>
        <row r="47">
          <cell r="A47" t="str">
            <v>BYR</v>
          </cell>
          <cell r="B47" t="b">
            <v>0</v>
          </cell>
        </row>
        <row r="48">
          <cell r="A48" t="str">
            <v>BZD</v>
          </cell>
          <cell r="B48" t="b">
            <v>0</v>
          </cell>
        </row>
        <row r="49">
          <cell r="A49" t="str">
            <v>CDF</v>
          </cell>
          <cell r="B49" t="b">
            <v>0</v>
          </cell>
        </row>
        <row r="50">
          <cell r="A50" t="str">
            <v>CLF</v>
          </cell>
          <cell r="B50" t="b">
            <v>0</v>
          </cell>
        </row>
        <row r="51">
          <cell r="A51" t="str">
            <v>CLP</v>
          </cell>
          <cell r="B51" t="b">
            <v>0</v>
          </cell>
        </row>
        <row r="52">
          <cell r="A52" t="str">
            <v>COP</v>
          </cell>
          <cell r="B52" t="b">
            <v>0</v>
          </cell>
        </row>
        <row r="53">
          <cell r="A53" t="str">
            <v>CRC</v>
          </cell>
          <cell r="B53" t="b">
            <v>0</v>
          </cell>
        </row>
        <row r="54">
          <cell r="A54" t="str">
            <v>CUP</v>
          </cell>
          <cell r="B54" t="b">
            <v>0</v>
          </cell>
        </row>
        <row r="55">
          <cell r="A55" t="str">
            <v>CVE</v>
          </cell>
          <cell r="B55" t="b">
            <v>0</v>
          </cell>
        </row>
        <row r="56">
          <cell r="A56" t="str">
            <v>CYP</v>
          </cell>
          <cell r="B56" t="b">
            <v>0</v>
          </cell>
        </row>
        <row r="57">
          <cell r="A57" t="str">
            <v>CZK</v>
          </cell>
          <cell r="B57" t="b">
            <v>0</v>
          </cell>
        </row>
        <row r="58">
          <cell r="A58" t="str">
            <v>DEM</v>
          </cell>
          <cell r="B58" t="b">
            <v>0</v>
          </cell>
        </row>
        <row r="59">
          <cell r="A59" t="str">
            <v>DJF</v>
          </cell>
          <cell r="B59" t="b">
            <v>0</v>
          </cell>
        </row>
        <row r="60">
          <cell r="A60" t="str">
            <v>DOP</v>
          </cell>
          <cell r="B60" t="b">
            <v>0</v>
          </cell>
        </row>
        <row r="61">
          <cell r="A61" t="str">
            <v>DZD</v>
          </cell>
          <cell r="B61" t="b">
            <v>0</v>
          </cell>
        </row>
        <row r="62">
          <cell r="A62" t="str">
            <v>ECS</v>
          </cell>
          <cell r="B62" t="b">
            <v>0</v>
          </cell>
        </row>
        <row r="63">
          <cell r="A63" t="str">
            <v>EEK</v>
          </cell>
          <cell r="B63" t="b">
            <v>0</v>
          </cell>
        </row>
        <row r="64">
          <cell r="A64" t="str">
            <v>EGP</v>
          </cell>
          <cell r="B64" t="b">
            <v>0</v>
          </cell>
        </row>
        <row r="65">
          <cell r="A65" t="str">
            <v>ERN</v>
          </cell>
          <cell r="B65" t="b">
            <v>0</v>
          </cell>
        </row>
        <row r="66">
          <cell r="A66" t="str">
            <v>ESP</v>
          </cell>
          <cell r="B66" t="b">
            <v>0</v>
          </cell>
        </row>
        <row r="67">
          <cell r="A67" t="str">
            <v>ETB</v>
          </cell>
          <cell r="B67" t="b">
            <v>0</v>
          </cell>
        </row>
        <row r="68">
          <cell r="A68" t="str">
            <v>FIM</v>
          </cell>
          <cell r="B68" t="b">
            <v>0</v>
          </cell>
        </row>
        <row r="69">
          <cell r="A69" t="str">
            <v>FJD</v>
          </cell>
          <cell r="B69" t="b">
            <v>0</v>
          </cell>
        </row>
        <row r="70">
          <cell r="A70" t="str">
            <v>FKP</v>
          </cell>
          <cell r="B70" t="b">
            <v>0</v>
          </cell>
        </row>
        <row r="71">
          <cell r="A71" t="str">
            <v>FRF</v>
          </cell>
          <cell r="B71" t="b">
            <v>0</v>
          </cell>
        </row>
        <row r="72">
          <cell r="A72" t="str">
            <v>GEL</v>
          </cell>
          <cell r="B72" t="b">
            <v>0</v>
          </cell>
        </row>
        <row r="73">
          <cell r="A73" t="str">
            <v>GHS</v>
          </cell>
          <cell r="B73" t="b">
            <v>0</v>
          </cell>
        </row>
        <row r="74">
          <cell r="A74" t="str">
            <v>GIP</v>
          </cell>
          <cell r="B74" t="b">
            <v>0</v>
          </cell>
        </row>
        <row r="75">
          <cell r="A75" t="str">
            <v>GMD</v>
          </cell>
          <cell r="B75" t="b">
            <v>0</v>
          </cell>
        </row>
        <row r="76">
          <cell r="A76" t="str">
            <v>GNF</v>
          </cell>
          <cell r="B76" t="b">
            <v>0</v>
          </cell>
        </row>
        <row r="77">
          <cell r="A77" t="str">
            <v>GRD</v>
          </cell>
          <cell r="B77" t="b">
            <v>0</v>
          </cell>
        </row>
        <row r="78">
          <cell r="A78" t="str">
            <v>GTQ</v>
          </cell>
          <cell r="B78" t="b">
            <v>0</v>
          </cell>
        </row>
        <row r="79">
          <cell r="A79" t="str">
            <v>GYD</v>
          </cell>
          <cell r="B79" t="b">
            <v>0</v>
          </cell>
        </row>
        <row r="80">
          <cell r="A80" t="str">
            <v>HNL</v>
          </cell>
          <cell r="B80" t="b">
            <v>0</v>
          </cell>
        </row>
        <row r="81">
          <cell r="A81" t="str">
            <v>HRK</v>
          </cell>
          <cell r="B81" t="b">
            <v>0</v>
          </cell>
        </row>
        <row r="82">
          <cell r="A82" t="str">
            <v>HTG</v>
          </cell>
          <cell r="B82" t="b">
            <v>0</v>
          </cell>
        </row>
        <row r="83">
          <cell r="A83" t="str">
            <v>HUF</v>
          </cell>
          <cell r="B83" t="b">
            <v>0</v>
          </cell>
        </row>
        <row r="84">
          <cell r="A84" t="str">
            <v>IDR</v>
          </cell>
          <cell r="B84" t="b">
            <v>0</v>
          </cell>
        </row>
        <row r="85">
          <cell r="A85" t="str">
            <v>IEP</v>
          </cell>
          <cell r="B85" t="b">
            <v>0</v>
          </cell>
        </row>
        <row r="86">
          <cell r="A86" t="str">
            <v>ILS</v>
          </cell>
          <cell r="B86" t="b">
            <v>0</v>
          </cell>
        </row>
        <row r="87">
          <cell r="A87" t="str">
            <v>INR</v>
          </cell>
          <cell r="B87" t="b">
            <v>0</v>
          </cell>
        </row>
        <row r="88">
          <cell r="A88" t="str">
            <v>IQD</v>
          </cell>
          <cell r="B88" t="b">
            <v>0</v>
          </cell>
        </row>
        <row r="89">
          <cell r="A89" t="str">
            <v>IRR</v>
          </cell>
          <cell r="B89" t="b">
            <v>0</v>
          </cell>
        </row>
        <row r="90">
          <cell r="A90" t="str">
            <v>ISK</v>
          </cell>
          <cell r="B90" t="b">
            <v>0</v>
          </cell>
        </row>
        <row r="91">
          <cell r="A91" t="str">
            <v>ITL</v>
          </cell>
          <cell r="B91" t="b">
            <v>0</v>
          </cell>
        </row>
        <row r="92">
          <cell r="A92" t="str">
            <v>JMD</v>
          </cell>
          <cell r="B92" t="b">
            <v>0</v>
          </cell>
        </row>
        <row r="93">
          <cell r="A93" t="str">
            <v>JOD</v>
          </cell>
          <cell r="B93" t="b">
            <v>0</v>
          </cell>
        </row>
        <row r="94">
          <cell r="A94" t="str">
            <v>KES</v>
          </cell>
          <cell r="B94" t="b">
            <v>0</v>
          </cell>
        </row>
        <row r="95">
          <cell r="A95" t="str">
            <v>KGS</v>
          </cell>
          <cell r="B95" t="b">
            <v>0</v>
          </cell>
        </row>
        <row r="96">
          <cell r="A96" t="str">
            <v>KHR</v>
          </cell>
          <cell r="B96" t="b">
            <v>0</v>
          </cell>
        </row>
        <row r="97">
          <cell r="A97" t="str">
            <v>KMF</v>
          </cell>
          <cell r="B97" t="b">
            <v>0</v>
          </cell>
        </row>
        <row r="98">
          <cell r="A98" t="str">
            <v>KPW</v>
          </cell>
          <cell r="B98" t="b">
            <v>0</v>
          </cell>
        </row>
        <row r="99">
          <cell r="A99" t="str">
            <v>KWD</v>
          </cell>
          <cell r="B99" t="b">
            <v>0</v>
          </cell>
        </row>
        <row r="100">
          <cell r="A100" t="str">
            <v>KYD</v>
          </cell>
          <cell r="B100" t="b">
            <v>0</v>
          </cell>
        </row>
        <row r="101">
          <cell r="A101" t="str">
            <v>KZT</v>
          </cell>
          <cell r="B101" t="b">
            <v>0</v>
          </cell>
        </row>
        <row r="102">
          <cell r="A102" t="str">
            <v>LAK</v>
          </cell>
          <cell r="B102" t="b">
            <v>0</v>
          </cell>
        </row>
        <row r="103">
          <cell r="A103" t="str">
            <v>LBP</v>
          </cell>
          <cell r="B103" t="b">
            <v>0</v>
          </cell>
        </row>
        <row r="104">
          <cell r="A104" t="str">
            <v>LKR</v>
          </cell>
          <cell r="B104" t="b">
            <v>0</v>
          </cell>
        </row>
        <row r="105">
          <cell r="A105" t="str">
            <v>LRD</v>
          </cell>
          <cell r="B105" t="b">
            <v>0</v>
          </cell>
        </row>
        <row r="106">
          <cell r="A106" t="str">
            <v>LSL</v>
          </cell>
          <cell r="B106" t="b">
            <v>0</v>
          </cell>
        </row>
        <row r="107">
          <cell r="A107" t="str">
            <v>LTL</v>
          </cell>
          <cell r="B107" t="b">
            <v>0</v>
          </cell>
        </row>
        <row r="108">
          <cell r="A108" t="str">
            <v>LVL</v>
          </cell>
          <cell r="B108" t="b">
            <v>0</v>
          </cell>
        </row>
        <row r="109">
          <cell r="A109" t="str">
            <v>LYD</v>
          </cell>
          <cell r="B109" t="b">
            <v>0</v>
          </cell>
        </row>
        <row r="110">
          <cell r="A110" t="str">
            <v>MAD</v>
          </cell>
          <cell r="B110" t="b">
            <v>0</v>
          </cell>
        </row>
        <row r="111">
          <cell r="A111" t="str">
            <v>MDL</v>
          </cell>
          <cell r="B111" t="b">
            <v>0</v>
          </cell>
        </row>
        <row r="112">
          <cell r="A112" t="str">
            <v>MGA</v>
          </cell>
          <cell r="B112" t="b">
            <v>0</v>
          </cell>
        </row>
        <row r="113">
          <cell r="A113" t="str">
            <v>MKD</v>
          </cell>
          <cell r="B113" t="b">
            <v>0</v>
          </cell>
        </row>
        <row r="114">
          <cell r="A114" t="str">
            <v>MMK</v>
          </cell>
          <cell r="B114" t="b">
            <v>0</v>
          </cell>
        </row>
        <row r="115">
          <cell r="A115" t="str">
            <v>MNT</v>
          </cell>
          <cell r="B115" t="b">
            <v>0</v>
          </cell>
        </row>
        <row r="116">
          <cell r="A116" t="str">
            <v>MOP</v>
          </cell>
          <cell r="B116" t="b">
            <v>0</v>
          </cell>
        </row>
        <row r="117">
          <cell r="A117" t="str">
            <v>MRO</v>
          </cell>
          <cell r="B117" t="b">
            <v>0</v>
          </cell>
        </row>
        <row r="118">
          <cell r="A118" t="str">
            <v>MTL</v>
          </cell>
          <cell r="B118" t="b">
            <v>0</v>
          </cell>
        </row>
        <row r="119">
          <cell r="A119" t="str">
            <v>MUR</v>
          </cell>
          <cell r="B119" t="b">
            <v>0</v>
          </cell>
        </row>
        <row r="120">
          <cell r="A120" t="str">
            <v>MVR</v>
          </cell>
          <cell r="B120" t="b">
            <v>0</v>
          </cell>
        </row>
        <row r="121">
          <cell r="A121" t="str">
            <v>MWK</v>
          </cell>
          <cell r="B121" t="b">
            <v>0</v>
          </cell>
        </row>
        <row r="122">
          <cell r="A122" t="str">
            <v>MXN</v>
          </cell>
          <cell r="B122" t="b">
            <v>0</v>
          </cell>
        </row>
        <row r="123">
          <cell r="A123" t="str">
            <v>MYR</v>
          </cell>
          <cell r="B123" t="b">
            <v>0</v>
          </cell>
        </row>
        <row r="124">
          <cell r="A124" t="str">
            <v>MZN</v>
          </cell>
          <cell r="B124" t="b">
            <v>0</v>
          </cell>
        </row>
        <row r="125">
          <cell r="A125" t="str">
            <v>NAD</v>
          </cell>
          <cell r="B125" t="b">
            <v>0</v>
          </cell>
        </row>
        <row r="126">
          <cell r="A126" t="str">
            <v>NGN</v>
          </cell>
          <cell r="B126" t="b">
            <v>0</v>
          </cell>
        </row>
        <row r="127">
          <cell r="A127" t="str">
            <v>NIO</v>
          </cell>
          <cell r="B127" t="b">
            <v>0</v>
          </cell>
        </row>
        <row r="128">
          <cell r="A128" t="str">
            <v>NLG</v>
          </cell>
          <cell r="B128" t="b">
            <v>0</v>
          </cell>
        </row>
        <row r="129">
          <cell r="A129" t="str">
            <v>NPR</v>
          </cell>
          <cell r="B129" t="b">
            <v>0</v>
          </cell>
        </row>
        <row r="130">
          <cell r="A130" t="str">
            <v>OMR</v>
          </cell>
          <cell r="B130" t="b">
            <v>0</v>
          </cell>
        </row>
        <row r="131">
          <cell r="A131" t="str">
            <v>PAB</v>
          </cell>
          <cell r="B131" t="b">
            <v>0</v>
          </cell>
        </row>
        <row r="132">
          <cell r="A132" t="str">
            <v>PEN</v>
          </cell>
          <cell r="B132" t="b">
            <v>0</v>
          </cell>
        </row>
        <row r="133">
          <cell r="A133" t="str">
            <v>PGK</v>
          </cell>
          <cell r="B133" t="b">
            <v>0</v>
          </cell>
        </row>
        <row r="134">
          <cell r="A134" t="str">
            <v>PHP</v>
          </cell>
          <cell r="B134" t="b">
            <v>0</v>
          </cell>
        </row>
        <row r="135">
          <cell r="A135" t="str">
            <v>PKR</v>
          </cell>
          <cell r="B135" t="b">
            <v>0</v>
          </cell>
        </row>
        <row r="136">
          <cell r="A136" t="str">
            <v>PTE</v>
          </cell>
          <cell r="B136" t="b">
            <v>0</v>
          </cell>
        </row>
        <row r="137">
          <cell r="A137" t="str">
            <v>PYG</v>
          </cell>
          <cell r="B137" t="b">
            <v>0</v>
          </cell>
        </row>
        <row r="138">
          <cell r="A138" t="str">
            <v>QAR</v>
          </cell>
          <cell r="B138" t="b">
            <v>0</v>
          </cell>
        </row>
        <row r="139">
          <cell r="A139" t="str">
            <v>RON</v>
          </cell>
          <cell r="B139" t="b">
            <v>0</v>
          </cell>
        </row>
        <row r="140">
          <cell r="A140" t="str">
            <v>RSD</v>
          </cell>
          <cell r="B140" t="b">
            <v>0</v>
          </cell>
        </row>
        <row r="141">
          <cell r="A141" t="str">
            <v>RUB</v>
          </cell>
          <cell r="B141" t="b">
            <v>0</v>
          </cell>
        </row>
        <row r="142">
          <cell r="A142" t="str">
            <v>RWF</v>
          </cell>
          <cell r="B142" t="b">
            <v>0</v>
          </cell>
        </row>
        <row r="143">
          <cell r="A143" t="str">
            <v>SBD</v>
          </cell>
          <cell r="B143" t="b">
            <v>0</v>
          </cell>
        </row>
        <row r="144">
          <cell r="A144" t="str">
            <v>SCR</v>
          </cell>
          <cell r="B144" t="b">
            <v>0</v>
          </cell>
        </row>
        <row r="145">
          <cell r="A145" t="str">
            <v>SDG</v>
          </cell>
          <cell r="B145" t="b">
            <v>0</v>
          </cell>
        </row>
        <row r="146">
          <cell r="A146" t="str">
            <v>SHP</v>
          </cell>
          <cell r="B146" t="b">
            <v>0</v>
          </cell>
        </row>
        <row r="147">
          <cell r="A147" t="str">
            <v>SIT</v>
          </cell>
          <cell r="B147" t="b">
            <v>0</v>
          </cell>
        </row>
        <row r="148">
          <cell r="A148" t="str">
            <v>SKK</v>
          </cell>
          <cell r="B148" t="b">
            <v>0</v>
          </cell>
        </row>
        <row r="149">
          <cell r="A149" t="str">
            <v>SLL</v>
          </cell>
          <cell r="B149" t="b">
            <v>0</v>
          </cell>
        </row>
        <row r="150">
          <cell r="A150" t="str">
            <v>SOS</v>
          </cell>
          <cell r="B150" t="b">
            <v>0</v>
          </cell>
        </row>
        <row r="151">
          <cell r="A151" t="str">
            <v>SRD</v>
          </cell>
          <cell r="B151" t="b">
            <v>0</v>
          </cell>
        </row>
        <row r="152">
          <cell r="A152" t="str">
            <v>STD</v>
          </cell>
          <cell r="B152" t="b">
            <v>0</v>
          </cell>
        </row>
        <row r="153">
          <cell r="A153" t="str">
            <v>SVC</v>
          </cell>
          <cell r="B153" t="b">
            <v>0</v>
          </cell>
        </row>
        <row r="154">
          <cell r="A154" t="str">
            <v>SYP</v>
          </cell>
          <cell r="B154" t="b">
            <v>0</v>
          </cell>
        </row>
        <row r="155">
          <cell r="A155" t="str">
            <v>SZL</v>
          </cell>
          <cell r="B155" t="b">
            <v>0</v>
          </cell>
        </row>
        <row r="156">
          <cell r="A156" t="str">
            <v>THB</v>
          </cell>
          <cell r="B156" t="b">
            <v>0</v>
          </cell>
        </row>
        <row r="157">
          <cell r="A157" t="str">
            <v>TJS</v>
          </cell>
          <cell r="B157" t="b">
            <v>0</v>
          </cell>
        </row>
        <row r="158">
          <cell r="A158" t="str">
            <v>TMT</v>
          </cell>
          <cell r="B158" t="b">
            <v>0</v>
          </cell>
        </row>
        <row r="159">
          <cell r="A159" t="str">
            <v>TND</v>
          </cell>
          <cell r="B159" t="b">
            <v>0</v>
          </cell>
        </row>
        <row r="160">
          <cell r="A160" t="str">
            <v>TOP</v>
          </cell>
          <cell r="B160" t="b">
            <v>0</v>
          </cell>
        </row>
        <row r="161">
          <cell r="A161" t="str">
            <v>TRY</v>
          </cell>
          <cell r="B161" t="b">
            <v>0</v>
          </cell>
        </row>
        <row r="162">
          <cell r="A162" t="str">
            <v>TTD</v>
          </cell>
          <cell r="B162" t="b">
            <v>0</v>
          </cell>
        </row>
        <row r="163">
          <cell r="A163" t="str">
            <v>TZS</v>
          </cell>
          <cell r="B163" t="b">
            <v>0</v>
          </cell>
        </row>
        <row r="164">
          <cell r="A164" t="str">
            <v>UAH</v>
          </cell>
          <cell r="B164" t="b">
            <v>0</v>
          </cell>
        </row>
        <row r="165">
          <cell r="A165" t="str">
            <v>UGX</v>
          </cell>
          <cell r="B165" t="b">
            <v>0</v>
          </cell>
        </row>
        <row r="166">
          <cell r="A166" t="str">
            <v>UYU</v>
          </cell>
          <cell r="B166" t="b">
            <v>0</v>
          </cell>
        </row>
        <row r="167">
          <cell r="A167" t="str">
            <v>UZS</v>
          </cell>
          <cell r="B167" t="b">
            <v>0</v>
          </cell>
        </row>
        <row r="168">
          <cell r="A168" t="str">
            <v>VEF</v>
          </cell>
          <cell r="B168" t="b">
            <v>0</v>
          </cell>
        </row>
        <row r="169">
          <cell r="A169" t="str">
            <v>VES</v>
          </cell>
          <cell r="B169" t="b">
            <v>0</v>
          </cell>
        </row>
        <row r="170">
          <cell r="A170" t="str">
            <v>VND</v>
          </cell>
          <cell r="B170" t="b">
            <v>0</v>
          </cell>
        </row>
        <row r="171">
          <cell r="A171" t="str">
            <v>VUV</v>
          </cell>
          <cell r="B171" t="b">
            <v>0</v>
          </cell>
        </row>
        <row r="172">
          <cell r="A172" t="str">
            <v>WST</v>
          </cell>
          <cell r="B172" t="b">
            <v>0</v>
          </cell>
        </row>
        <row r="173">
          <cell r="A173" t="str">
            <v>XAF</v>
          </cell>
          <cell r="B173" t="b">
            <v>0</v>
          </cell>
        </row>
        <row r="174">
          <cell r="A174" t="str">
            <v>XAU</v>
          </cell>
          <cell r="B174" t="b">
            <v>0</v>
          </cell>
        </row>
        <row r="175">
          <cell r="A175" t="str">
            <v>XCD</v>
          </cell>
          <cell r="B175" t="b">
            <v>0</v>
          </cell>
        </row>
        <row r="176">
          <cell r="A176" t="str">
            <v>XOF</v>
          </cell>
          <cell r="B176" t="b">
            <v>0</v>
          </cell>
        </row>
        <row r="177">
          <cell r="A177" t="str">
            <v>XPF</v>
          </cell>
          <cell r="B177" t="b">
            <v>0</v>
          </cell>
        </row>
        <row r="178">
          <cell r="A178" t="str">
            <v>YER</v>
          </cell>
          <cell r="B178" t="b">
            <v>0</v>
          </cell>
        </row>
        <row r="179">
          <cell r="A179" t="str">
            <v>ZAR</v>
          </cell>
          <cell r="B179" t="b">
            <v>0</v>
          </cell>
        </row>
        <row r="180">
          <cell r="A180" t="str">
            <v>ZMK</v>
          </cell>
          <cell r="B180" t="b">
            <v>0</v>
          </cell>
        </row>
        <row r="181">
          <cell r="A181" t="str">
            <v>ZMW</v>
          </cell>
          <cell r="B181" t="b">
            <v>0</v>
          </cell>
        </row>
        <row r="182">
          <cell r="A182" t="str">
            <v>ZWL</v>
          </cell>
          <cell r="B182" t="b">
            <v>0</v>
          </cell>
        </row>
        <row r="183">
          <cell r="A183" t="str">
            <v>ZWR</v>
          </cell>
          <cell r="B183" t="b">
            <v>0</v>
          </cell>
        </row>
        <row r="184">
          <cell r="A184" t="str">
            <v>End of Table</v>
          </cell>
        </row>
      </sheetData>
      <sheetData sheetId="8">
        <row r="3">
          <cell r="C3" t="str">
            <v>GPP 3.0 PPA RES (Reseller)</v>
          </cell>
        </row>
        <row r="4">
          <cell r="C4" t="str">
            <v>Europe</v>
          </cell>
        </row>
        <row r="6">
          <cell r="C6" t="str">
            <v>Expert</v>
          </cell>
          <cell r="H6">
            <v>0.13</v>
          </cell>
          <cell r="K6" t="str">
            <v>Technical Support Gold &amp; Return for Exchange</v>
          </cell>
          <cell r="M6">
            <v>4</v>
          </cell>
        </row>
        <row r="7">
          <cell r="C7" t="str">
            <v>Authorized</v>
          </cell>
          <cell r="H7">
            <v>0</v>
          </cell>
          <cell r="K7" t="str">
            <v>Technical Support Bronze &amp; Return for Exchange</v>
          </cell>
          <cell r="M7">
            <v>10</v>
          </cell>
        </row>
        <row r="8">
          <cell r="K8" t="str">
            <v/>
          </cell>
          <cell r="M8" t="str">
            <v/>
          </cell>
        </row>
        <row r="9">
          <cell r="K9" t="str">
            <v/>
          </cell>
          <cell r="M9" t="str">
            <v/>
          </cell>
        </row>
        <row r="11">
          <cell r="C11" t="str">
            <v>USD</v>
          </cell>
          <cell r="D11">
            <v>1</v>
          </cell>
        </row>
        <row r="12">
          <cell r="C12" t="str">
            <v>EUR</v>
          </cell>
          <cell r="D12">
            <v>0.84399999999999997</v>
          </cell>
        </row>
        <row r="13">
          <cell r="C13">
            <v>2</v>
          </cell>
        </row>
        <row r="14">
          <cell r="B14" t="str">
            <v>GPP Product Discount Category</v>
          </cell>
          <cell r="C14" t="str">
            <v>Product Discount</v>
          </cell>
          <cell r="D14" t="str">
            <v>SSP / SRS Percentage (applied on Partner Price)</v>
          </cell>
          <cell r="E14" t="str">
            <v>Annual Care %</v>
          </cell>
          <cell r="F14" t="str">
            <v>Annual Care % with 1st Year Warranty Credit Included</v>
          </cell>
          <cell r="G14" t="str">
            <v>Annual Care %</v>
          </cell>
          <cell r="H14" t="str">
            <v>Annual Care % with 1st Year Warranty Credit Included</v>
          </cell>
          <cell r="I14" t="str">
            <v>Annual Care %</v>
          </cell>
          <cell r="J14" t="str">
            <v>Annual Care % with 1st Year Warranty Credit Included</v>
          </cell>
          <cell r="K14" t="str">
            <v>Annual Care %</v>
          </cell>
          <cell r="L14" t="str">
            <v>Annual Care % with 1st Year Warranty Credit Included</v>
          </cell>
        </row>
        <row r="15">
          <cell r="B15" t="str">
            <v>7210 SAS Accessories</v>
          </cell>
          <cell r="C15">
            <v>0.5</v>
          </cell>
          <cell r="D15">
            <v>2.5000000000000001E-2</v>
          </cell>
          <cell r="E15">
            <v>2.18E-2</v>
          </cell>
          <cell r="F15">
            <v>1.83E-2</v>
          </cell>
          <cell r="G15" t="str">
            <v/>
          </cell>
          <cell r="H15" t="str">
            <v/>
          </cell>
          <cell r="I15" t="str">
            <v/>
          </cell>
          <cell r="J15" t="str">
            <v/>
          </cell>
          <cell r="K15">
            <v>1.9300000000000001E-2</v>
          </cell>
          <cell r="L15">
            <v>1.5800000000000002E-2</v>
          </cell>
        </row>
        <row r="16">
          <cell r="B16" t="str">
            <v>7210 SAS-D/Dxp</v>
          </cell>
          <cell r="C16">
            <v>0.4</v>
          </cell>
          <cell r="D16">
            <v>2.5000000000000001E-2</v>
          </cell>
          <cell r="E16">
            <v>2.18E-2</v>
          </cell>
          <cell r="F16">
            <v>1.83E-2</v>
          </cell>
          <cell r="G16" t="str">
            <v/>
          </cell>
          <cell r="H16" t="str">
            <v/>
          </cell>
          <cell r="I16" t="str">
            <v/>
          </cell>
          <cell r="J16" t="str">
            <v/>
          </cell>
          <cell r="K16">
            <v>1.9300000000000001E-2</v>
          </cell>
          <cell r="L16">
            <v>1.5800000000000002E-2</v>
          </cell>
        </row>
        <row r="17">
          <cell r="B17" t="str">
            <v>7210 SAS-K</v>
          </cell>
          <cell r="C17">
            <v>0.4</v>
          </cell>
          <cell r="D17">
            <v>2.5000000000000001E-2</v>
          </cell>
          <cell r="E17">
            <v>2.18E-2</v>
          </cell>
          <cell r="F17">
            <v>1.83E-2</v>
          </cell>
          <cell r="G17" t="str">
            <v/>
          </cell>
          <cell r="H17" t="str">
            <v/>
          </cell>
          <cell r="I17" t="str">
            <v/>
          </cell>
          <cell r="J17" t="str">
            <v/>
          </cell>
          <cell r="K17">
            <v>1.9300000000000001E-2</v>
          </cell>
          <cell r="L17">
            <v>1.5800000000000002E-2</v>
          </cell>
        </row>
        <row r="18">
          <cell r="B18" t="str">
            <v>7210 SAS-M</v>
          </cell>
          <cell r="C18">
            <v>0.6</v>
          </cell>
          <cell r="D18">
            <v>2.5000000000000001E-2</v>
          </cell>
          <cell r="E18">
            <v>2.18E-2</v>
          </cell>
          <cell r="F18">
            <v>1.83E-2</v>
          </cell>
          <cell r="G18" t="str">
            <v/>
          </cell>
          <cell r="H18" t="str">
            <v/>
          </cell>
          <cell r="I18" t="str">
            <v/>
          </cell>
          <cell r="J18" t="str">
            <v/>
          </cell>
          <cell r="K18">
            <v>1.9300000000000001E-2</v>
          </cell>
          <cell r="L18">
            <v>1.5800000000000002E-2</v>
          </cell>
        </row>
        <row r="19">
          <cell r="B19" t="str">
            <v>7210 SAS-Mxp</v>
          </cell>
          <cell r="C19">
            <v>0.62</v>
          </cell>
          <cell r="D19">
            <v>2.5000000000000001E-2</v>
          </cell>
          <cell r="E19">
            <v>2.18E-2</v>
          </cell>
          <cell r="F19">
            <v>1.83E-2</v>
          </cell>
          <cell r="G19" t="str">
            <v/>
          </cell>
          <cell r="H19" t="str">
            <v/>
          </cell>
          <cell r="I19" t="str">
            <v/>
          </cell>
          <cell r="J19" t="str">
            <v/>
          </cell>
          <cell r="K19">
            <v>1.9300000000000001E-2</v>
          </cell>
          <cell r="L19">
            <v>1.5800000000000002E-2</v>
          </cell>
        </row>
        <row r="20">
          <cell r="B20" t="str">
            <v>7210 SAS-R</v>
          </cell>
          <cell r="C20">
            <v>0.6</v>
          </cell>
          <cell r="D20">
            <v>2.5000000000000001E-2</v>
          </cell>
          <cell r="E20">
            <v>2.18E-2</v>
          </cell>
          <cell r="F20">
            <v>1.83E-2</v>
          </cell>
          <cell r="G20" t="str">
            <v/>
          </cell>
          <cell r="H20" t="str">
            <v/>
          </cell>
          <cell r="I20" t="str">
            <v/>
          </cell>
          <cell r="J20" t="str">
            <v/>
          </cell>
          <cell r="K20">
            <v>1.9300000000000001E-2</v>
          </cell>
          <cell r="L20">
            <v>1.5800000000000002E-2</v>
          </cell>
        </row>
        <row r="21">
          <cell r="B21" t="str">
            <v>7210 SAS-S/Sx - 1/10G</v>
          </cell>
          <cell r="C21">
            <v>0.4</v>
          </cell>
          <cell r="D21">
            <v>2.5000000000000001E-2</v>
          </cell>
          <cell r="E21">
            <v>2.18E-2</v>
          </cell>
          <cell r="F21">
            <v>1.83E-2</v>
          </cell>
          <cell r="G21" t="str">
            <v/>
          </cell>
          <cell r="H21" t="str">
            <v/>
          </cell>
          <cell r="I21" t="str">
            <v/>
          </cell>
          <cell r="J21" t="str">
            <v/>
          </cell>
          <cell r="K21">
            <v>1.9300000000000001E-2</v>
          </cell>
          <cell r="L21">
            <v>1.5800000000000002E-2</v>
          </cell>
        </row>
        <row r="22">
          <cell r="B22" t="str">
            <v>7210 SAS-Sx - 10/100G</v>
          </cell>
          <cell r="C22">
            <v>0.4</v>
          </cell>
          <cell r="D22">
            <v>2.5000000000000001E-2</v>
          </cell>
          <cell r="E22">
            <v>2.18E-2</v>
          </cell>
          <cell r="F22">
            <v>1.83E-2</v>
          </cell>
          <cell r="G22" t="str">
            <v/>
          </cell>
          <cell r="H22" t="str">
            <v/>
          </cell>
          <cell r="I22" t="str">
            <v/>
          </cell>
          <cell r="J22" t="str">
            <v/>
          </cell>
          <cell r="K22">
            <v>1.9300000000000001E-2</v>
          </cell>
          <cell r="L22">
            <v>1.5800000000000002E-2</v>
          </cell>
        </row>
        <row r="23">
          <cell r="B23" t="str">
            <v>7210 SAS-T</v>
          </cell>
          <cell r="C23">
            <v>0.56000000000000005</v>
          </cell>
          <cell r="D23">
            <v>2.5000000000000001E-2</v>
          </cell>
          <cell r="E23">
            <v>2.18E-2</v>
          </cell>
          <cell r="F23">
            <v>1.83E-2</v>
          </cell>
          <cell r="G23" t="str">
            <v/>
          </cell>
          <cell r="H23" t="str">
            <v/>
          </cell>
          <cell r="I23" t="str">
            <v/>
          </cell>
          <cell r="J23" t="str">
            <v/>
          </cell>
          <cell r="K23">
            <v>1.9300000000000001E-2</v>
          </cell>
          <cell r="L23">
            <v>1.5800000000000002E-2</v>
          </cell>
        </row>
        <row r="24">
          <cell r="B24" t="str">
            <v>7250 IXR Accessories</v>
          </cell>
          <cell r="C24">
            <v>0.4</v>
          </cell>
          <cell r="D24">
            <v>2.5000000000000001E-2</v>
          </cell>
          <cell r="E24">
            <v>2.18E-2</v>
          </cell>
          <cell r="F24">
            <v>1.83E-2</v>
          </cell>
          <cell r="G24" t="str">
            <v/>
          </cell>
          <cell r="H24" t="str">
            <v/>
          </cell>
          <cell r="I24" t="str">
            <v/>
          </cell>
          <cell r="J24" t="str">
            <v/>
          </cell>
          <cell r="K24">
            <v>1.9300000000000001E-2</v>
          </cell>
          <cell r="L24">
            <v>1.5800000000000002E-2</v>
          </cell>
        </row>
        <row r="25">
          <cell r="B25" t="str">
            <v>7250 IXR OS</v>
          </cell>
          <cell r="C25">
            <v>0.65</v>
          </cell>
          <cell r="D25">
            <v>2.5000000000000001E-2</v>
          </cell>
          <cell r="E25">
            <v>2.18E-2</v>
          </cell>
          <cell r="F25">
            <v>1.83E-2</v>
          </cell>
          <cell r="G25" t="str">
            <v/>
          </cell>
          <cell r="H25" t="str">
            <v/>
          </cell>
          <cell r="I25" t="str">
            <v/>
          </cell>
          <cell r="J25" t="str">
            <v/>
          </cell>
          <cell r="K25">
            <v>1.9300000000000001E-2</v>
          </cell>
          <cell r="L25">
            <v>1.5800000000000002E-2</v>
          </cell>
        </row>
        <row r="26">
          <cell r="B26" t="str">
            <v>7250 IXR RTUs /Upgrades</v>
          </cell>
          <cell r="C26">
            <v>0.68</v>
          </cell>
          <cell r="D26">
            <v>2.5000000000000001E-2</v>
          </cell>
          <cell r="E26">
            <v>2.18E-2</v>
          </cell>
          <cell r="F26">
            <v>1.83E-2</v>
          </cell>
          <cell r="G26" t="str">
            <v/>
          </cell>
          <cell r="H26" t="str">
            <v/>
          </cell>
          <cell r="I26" t="str">
            <v/>
          </cell>
          <cell r="J26" t="str">
            <v/>
          </cell>
          <cell r="K26">
            <v>1.9300000000000001E-2</v>
          </cell>
          <cell r="L26">
            <v>1.5800000000000002E-2</v>
          </cell>
        </row>
        <row r="27">
          <cell r="B27" t="str">
            <v>7250 IXR-6/10</v>
          </cell>
          <cell r="C27">
            <v>0.35</v>
          </cell>
          <cell r="D27">
            <v>2.5000000000000001E-2</v>
          </cell>
          <cell r="E27">
            <v>2.18E-2</v>
          </cell>
          <cell r="F27">
            <v>1.83E-2</v>
          </cell>
          <cell r="G27" t="str">
            <v/>
          </cell>
          <cell r="H27" t="str">
            <v/>
          </cell>
          <cell r="I27" t="str">
            <v/>
          </cell>
          <cell r="J27" t="str">
            <v/>
          </cell>
          <cell r="K27">
            <v>1.9300000000000001E-2</v>
          </cell>
          <cell r="L27">
            <v>1.5800000000000002E-2</v>
          </cell>
        </row>
        <row r="28">
          <cell r="B28" t="str">
            <v>7250 IXR-e</v>
          </cell>
          <cell r="C28">
            <v>0.55000000000000004</v>
          </cell>
          <cell r="D28">
            <v>2.5000000000000001E-2</v>
          </cell>
          <cell r="E28">
            <v>2.18E-2</v>
          </cell>
          <cell r="F28">
            <v>1.83E-2</v>
          </cell>
          <cell r="G28" t="str">
            <v/>
          </cell>
          <cell r="H28" t="str">
            <v/>
          </cell>
          <cell r="I28" t="str">
            <v/>
          </cell>
          <cell r="J28" t="str">
            <v/>
          </cell>
          <cell r="K28">
            <v>1.9300000000000001E-2</v>
          </cell>
          <cell r="L28">
            <v>1.5800000000000002E-2</v>
          </cell>
        </row>
        <row r="29">
          <cell r="B29" t="str">
            <v>7250 IXR-R4/6</v>
          </cell>
          <cell r="C29">
            <v>0.6</v>
          </cell>
          <cell r="D29">
            <v>2.5000000000000001E-2</v>
          </cell>
          <cell r="E29">
            <v>2.18E-2</v>
          </cell>
          <cell r="F29">
            <v>1.83E-2</v>
          </cell>
          <cell r="G29" t="str">
            <v/>
          </cell>
          <cell r="H29" t="str">
            <v/>
          </cell>
          <cell r="I29" t="str">
            <v/>
          </cell>
          <cell r="J29" t="str">
            <v/>
          </cell>
          <cell r="K29">
            <v>1.9300000000000001E-2</v>
          </cell>
          <cell r="L29">
            <v>1.5800000000000002E-2</v>
          </cell>
        </row>
        <row r="30">
          <cell r="B30" t="str">
            <v>7250 IXR-s</v>
          </cell>
          <cell r="C30">
            <v>0.55000000000000004</v>
          </cell>
          <cell r="D30">
            <v>2.5000000000000001E-2</v>
          </cell>
          <cell r="E30">
            <v>2.18E-2</v>
          </cell>
          <cell r="F30">
            <v>1.83E-2</v>
          </cell>
          <cell r="G30" t="str">
            <v/>
          </cell>
          <cell r="H30" t="str">
            <v/>
          </cell>
          <cell r="I30" t="str">
            <v/>
          </cell>
          <cell r="J30" t="str">
            <v/>
          </cell>
          <cell r="K30">
            <v>1.9300000000000001E-2</v>
          </cell>
          <cell r="L30">
            <v>1.5800000000000002E-2</v>
          </cell>
        </row>
        <row r="31">
          <cell r="B31" t="str">
            <v>7705 SAR Accessories</v>
          </cell>
          <cell r="C31">
            <v>0.6</v>
          </cell>
          <cell r="D31">
            <v>2.5000000000000001E-2</v>
          </cell>
          <cell r="E31">
            <v>1.7899999999999999E-2</v>
          </cell>
          <cell r="F31">
            <v>1.44E-2</v>
          </cell>
          <cell r="G31" t="str">
            <v/>
          </cell>
          <cell r="H31" t="str">
            <v/>
          </cell>
          <cell r="I31" t="str">
            <v/>
          </cell>
          <cell r="J31" t="str">
            <v/>
          </cell>
          <cell r="K31">
            <v>1.5900000000000001E-2</v>
          </cell>
          <cell r="L31">
            <v>1.24E-2</v>
          </cell>
        </row>
        <row r="32">
          <cell r="B32" t="str">
            <v>7705 SAR Common SW</v>
          </cell>
          <cell r="C32">
            <v>0.65</v>
          </cell>
          <cell r="D32">
            <v>2.5000000000000001E-2</v>
          </cell>
          <cell r="E32">
            <v>1.7899999999999999E-2</v>
          </cell>
          <cell r="F32">
            <v>1.44E-2</v>
          </cell>
          <cell r="G32" t="str">
            <v/>
          </cell>
          <cell r="H32" t="str">
            <v/>
          </cell>
          <cell r="I32" t="str">
            <v/>
          </cell>
          <cell r="J32" t="str">
            <v/>
          </cell>
          <cell r="K32">
            <v>1.5900000000000001E-2</v>
          </cell>
          <cell r="L32">
            <v>1.24E-2</v>
          </cell>
        </row>
        <row r="33">
          <cell r="B33" t="str">
            <v>7705 SAR-8/18</v>
          </cell>
          <cell r="C33">
            <v>0.62</v>
          </cell>
          <cell r="D33">
            <v>2.5000000000000001E-2</v>
          </cell>
          <cell r="E33">
            <v>1.7899999999999999E-2</v>
          </cell>
          <cell r="F33">
            <v>1.44E-2</v>
          </cell>
          <cell r="G33" t="str">
            <v/>
          </cell>
          <cell r="H33" t="str">
            <v/>
          </cell>
          <cell r="I33" t="str">
            <v/>
          </cell>
          <cell r="J33" t="str">
            <v/>
          </cell>
          <cell r="K33">
            <v>1.5900000000000001E-2</v>
          </cell>
          <cell r="L33">
            <v>1.24E-2</v>
          </cell>
        </row>
        <row r="34">
          <cell r="B34" t="str">
            <v>7705 SAR-A/Ax</v>
          </cell>
          <cell r="C34">
            <v>0.65</v>
          </cell>
          <cell r="D34">
            <v>2.5000000000000001E-2</v>
          </cell>
          <cell r="E34">
            <v>1.7899999999999999E-2</v>
          </cell>
          <cell r="F34">
            <v>1.44E-2</v>
          </cell>
          <cell r="G34" t="str">
            <v/>
          </cell>
          <cell r="H34" t="str">
            <v/>
          </cell>
          <cell r="I34" t="str">
            <v/>
          </cell>
          <cell r="J34" t="str">
            <v/>
          </cell>
          <cell r="K34">
            <v>1.5900000000000001E-2</v>
          </cell>
          <cell r="L34">
            <v>1.24E-2</v>
          </cell>
        </row>
        <row r="35">
          <cell r="B35" t="str">
            <v>7705 SAR-H</v>
          </cell>
          <cell r="C35">
            <v>0.6</v>
          </cell>
          <cell r="D35">
            <v>2.5000000000000001E-2</v>
          </cell>
          <cell r="E35">
            <v>1.7899999999999999E-2</v>
          </cell>
          <cell r="F35">
            <v>1.44E-2</v>
          </cell>
          <cell r="G35" t="str">
            <v/>
          </cell>
          <cell r="H35" t="str">
            <v/>
          </cell>
          <cell r="I35" t="str">
            <v/>
          </cell>
          <cell r="J35" t="str">
            <v/>
          </cell>
          <cell r="K35">
            <v>1.5900000000000001E-2</v>
          </cell>
          <cell r="L35">
            <v>1.24E-2</v>
          </cell>
        </row>
        <row r="36">
          <cell r="B36" t="str">
            <v>7705 SAR-Hc</v>
          </cell>
          <cell r="C36">
            <v>0.62</v>
          </cell>
          <cell r="D36">
            <v>2.5000000000000001E-2</v>
          </cell>
          <cell r="E36">
            <v>1.7899999999999999E-2</v>
          </cell>
          <cell r="F36">
            <v>1.44E-2</v>
          </cell>
          <cell r="G36" t="str">
            <v/>
          </cell>
          <cell r="H36" t="str">
            <v/>
          </cell>
          <cell r="I36" t="str">
            <v/>
          </cell>
          <cell r="J36" t="str">
            <v/>
          </cell>
          <cell r="K36">
            <v>1.5900000000000001E-2</v>
          </cell>
          <cell r="L36">
            <v>1.24E-2</v>
          </cell>
        </row>
        <row r="37">
          <cell r="B37" t="str">
            <v>7705 SAR-Hm/Hmc</v>
          </cell>
          <cell r="C37">
            <v>0.56000000000000005</v>
          </cell>
          <cell r="D37">
            <v>2.5000000000000001E-2</v>
          </cell>
          <cell r="E37">
            <v>1.7899999999999999E-2</v>
          </cell>
          <cell r="F37">
            <v>1.44E-2</v>
          </cell>
          <cell r="G37" t="str">
            <v/>
          </cell>
          <cell r="H37" t="str">
            <v/>
          </cell>
          <cell r="I37" t="str">
            <v/>
          </cell>
          <cell r="J37" t="str">
            <v/>
          </cell>
          <cell r="K37">
            <v>1.5900000000000001E-2</v>
          </cell>
          <cell r="L37">
            <v>1.24E-2</v>
          </cell>
        </row>
        <row r="38">
          <cell r="B38" t="str">
            <v>7705 SAR-M</v>
          </cell>
          <cell r="C38">
            <v>0.6</v>
          </cell>
          <cell r="D38">
            <v>2.5000000000000001E-2</v>
          </cell>
          <cell r="E38">
            <v>1.7899999999999999E-2</v>
          </cell>
          <cell r="F38">
            <v>1.44E-2</v>
          </cell>
          <cell r="G38" t="str">
            <v/>
          </cell>
          <cell r="H38" t="str">
            <v/>
          </cell>
          <cell r="I38" t="str">
            <v/>
          </cell>
          <cell r="J38" t="str">
            <v/>
          </cell>
          <cell r="K38">
            <v>1.5900000000000001E-2</v>
          </cell>
          <cell r="L38">
            <v>1.24E-2</v>
          </cell>
        </row>
        <row r="39">
          <cell r="B39" t="str">
            <v>7705 SAR-O</v>
          </cell>
          <cell r="C39">
            <v>0.6</v>
          </cell>
          <cell r="D39">
            <v>2.5000000000000001E-2</v>
          </cell>
          <cell r="E39">
            <v>1.7899999999999999E-2</v>
          </cell>
          <cell r="F39">
            <v>1.44E-2</v>
          </cell>
          <cell r="G39" t="str">
            <v/>
          </cell>
          <cell r="H39" t="str">
            <v/>
          </cell>
          <cell r="I39" t="str">
            <v/>
          </cell>
          <cell r="J39" t="str">
            <v/>
          </cell>
          <cell r="K39">
            <v>1.5900000000000001E-2</v>
          </cell>
          <cell r="L39">
            <v>1.24E-2</v>
          </cell>
        </row>
        <row r="40">
          <cell r="B40" t="str">
            <v>7705 SAR-W/Wx</v>
          </cell>
          <cell r="C40">
            <v>0.6</v>
          </cell>
          <cell r="D40">
            <v>2.5000000000000001E-2</v>
          </cell>
          <cell r="E40">
            <v>1.7899999999999999E-2</v>
          </cell>
          <cell r="F40">
            <v>1.44E-2</v>
          </cell>
          <cell r="G40" t="str">
            <v/>
          </cell>
          <cell r="H40" t="str">
            <v/>
          </cell>
          <cell r="I40" t="str">
            <v/>
          </cell>
          <cell r="J40" t="str">
            <v/>
          </cell>
          <cell r="K40">
            <v>1.5900000000000001E-2</v>
          </cell>
          <cell r="L40">
            <v>1.24E-2</v>
          </cell>
        </row>
        <row r="41">
          <cell r="B41" t="str">
            <v>7705 SAR-X</v>
          </cell>
          <cell r="C41">
            <v>0.67</v>
          </cell>
          <cell r="D41">
            <v>2.5000000000000001E-2</v>
          </cell>
          <cell r="E41">
            <v>1.7899999999999999E-2</v>
          </cell>
          <cell r="F41">
            <v>1.44E-2</v>
          </cell>
          <cell r="G41" t="str">
            <v/>
          </cell>
          <cell r="H41" t="str">
            <v/>
          </cell>
          <cell r="I41" t="str">
            <v/>
          </cell>
          <cell r="J41" t="str">
            <v/>
          </cell>
          <cell r="K41">
            <v>1.5900000000000001E-2</v>
          </cell>
          <cell r="L41">
            <v>1.24E-2</v>
          </cell>
        </row>
        <row r="42">
          <cell r="B42" t="str">
            <v>7750 Accessories</v>
          </cell>
          <cell r="C42">
            <v>0.6</v>
          </cell>
          <cell r="D42">
            <v>2.5000000000000001E-2</v>
          </cell>
          <cell r="E42">
            <v>1.38E-2</v>
          </cell>
          <cell r="F42">
            <v>1.03E-2</v>
          </cell>
          <cell r="G42" t="str">
            <v/>
          </cell>
          <cell r="H42" t="str">
            <v/>
          </cell>
          <cell r="I42" t="str">
            <v/>
          </cell>
          <cell r="J42" t="str">
            <v/>
          </cell>
          <cell r="K42">
            <v>1.21E-2</v>
          </cell>
          <cell r="L42">
            <v>8.6E-3</v>
          </cell>
        </row>
        <row r="43">
          <cell r="B43" t="str">
            <v>7750 ESA</v>
          </cell>
          <cell r="C43">
            <v>0.5</v>
          </cell>
          <cell r="D43">
            <v>2.5000000000000001E-2</v>
          </cell>
          <cell r="E43">
            <v>1.0999999999999999E-2</v>
          </cell>
          <cell r="F43">
            <v>7.5000000000000006E-3</v>
          </cell>
          <cell r="G43" t="str">
            <v/>
          </cell>
          <cell r="H43" t="str">
            <v/>
          </cell>
          <cell r="I43" t="str">
            <v/>
          </cell>
          <cell r="J43" t="str">
            <v/>
          </cell>
          <cell r="K43">
            <v>9.6999999999999986E-3</v>
          </cell>
          <cell r="L43">
            <v>6.2000000000000006E-3</v>
          </cell>
        </row>
        <row r="44">
          <cell r="B44" t="str">
            <v>7750 IOM4-e L2HQ</v>
          </cell>
          <cell r="C44">
            <v>0.75</v>
          </cell>
          <cell r="D44">
            <v>2.5000000000000001E-2</v>
          </cell>
          <cell r="E44">
            <v>1.0999999999999999E-2</v>
          </cell>
          <cell r="F44">
            <v>7.5000000000000006E-3</v>
          </cell>
          <cell r="G44" t="str">
            <v/>
          </cell>
          <cell r="H44" t="str">
            <v/>
          </cell>
          <cell r="I44" t="str">
            <v/>
          </cell>
          <cell r="J44" t="str">
            <v/>
          </cell>
          <cell r="K44">
            <v>9.6999999999999986E-3</v>
          </cell>
          <cell r="L44">
            <v>6.2000000000000006E-3</v>
          </cell>
        </row>
        <row r="45">
          <cell r="B45" t="str">
            <v>7750 IOM4-e L3BQ</v>
          </cell>
          <cell r="C45">
            <v>0.75</v>
          </cell>
          <cell r="D45">
            <v>2.5000000000000001E-2</v>
          </cell>
          <cell r="E45">
            <v>1.0999999999999999E-2</v>
          </cell>
          <cell r="F45">
            <v>7.5000000000000006E-3</v>
          </cell>
          <cell r="G45" t="str">
            <v/>
          </cell>
          <cell r="H45" t="str">
            <v/>
          </cell>
          <cell r="I45" t="str">
            <v/>
          </cell>
          <cell r="J45" t="str">
            <v/>
          </cell>
          <cell r="K45">
            <v>9.6999999999999986E-3</v>
          </cell>
          <cell r="L45">
            <v>6.2000000000000006E-3</v>
          </cell>
        </row>
        <row r="46">
          <cell r="B46" t="str">
            <v>7750 IOM4-e L3HQ</v>
          </cell>
          <cell r="C46">
            <v>0.75</v>
          </cell>
          <cell r="D46">
            <v>2.5000000000000001E-2</v>
          </cell>
          <cell r="E46">
            <v>1.0999999999999999E-2</v>
          </cell>
          <cell r="F46">
            <v>7.5000000000000006E-3</v>
          </cell>
          <cell r="G46" t="str">
            <v/>
          </cell>
          <cell r="H46" t="str">
            <v/>
          </cell>
          <cell r="I46" t="str">
            <v/>
          </cell>
          <cell r="J46" t="str">
            <v/>
          </cell>
          <cell r="K46">
            <v>9.6999999999999986E-3</v>
          </cell>
          <cell r="L46">
            <v>6.2000000000000006E-3</v>
          </cell>
        </row>
        <row r="47">
          <cell r="B47" t="str">
            <v>7750 IOM5-e</v>
          </cell>
          <cell r="C47">
            <v>0.75</v>
          </cell>
          <cell r="D47">
            <v>2.5000000000000001E-2</v>
          </cell>
          <cell r="E47">
            <v>1.0999999999999999E-2</v>
          </cell>
          <cell r="F47">
            <v>7.5000000000000006E-3</v>
          </cell>
          <cell r="G47" t="str">
            <v/>
          </cell>
          <cell r="H47" t="str">
            <v/>
          </cell>
          <cell r="I47" t="str">
            <v/>
          </cell>
          <cell r="J47" t="str">
            <v/>
          </cell>
          <cell r="K47">
            <v>9.6999999999999986E-3</v>
          </cell>
          <cell r="L47">
            <v>6.2000000000000006E-3</v>
          </cell>
        </row>
        <row r="48">
          <cell r="B48" t="str">
            <v>7750 MDA-e 100GE</v>
          </cell>
          <cell r="C48">
            <v>0.75</v>
          </cell>
          <cell r="D48">
            <v>2.5000000000000001E-2</v>
          </cell>
          <cell r="E48">
            <v>1.0999999999999999E-2</v>
          </cell>
          <cell r="F48">
            <v>7.5000000000000006E-3</v>
          </cell>
          <cell r="G48" t="str">
            <v/>
          </cell>
          <cell r="H48" t="str">
            <v/>
          </cell>
          <cell r="I48" t="str">
            <v/>
          </cell>
          <cell r="J48" t="str">
            <v/>
          </cell>
          <cell r="K48">
            <v>9.6999999999999986E-3</v>
          </cell>
          <cell r="L48">
            <v>6.2000000000000006E-3</v>
          </cell>
        </row>
        <row r="49">
          <cell r="B49" t="str">
            <v>7750 MDA-e 10GE</v>
          </cell>
          <cell r="C49">
            <v>0.75</v>
          </cell>
          <cell r="D49">
            <v>2.5000000000000001E-2</v>
          </cell>
          <cell r="E49">
            <v>1.0999999999999999E-2</v>
          </cell>
          <cell r="F49">
            <v>7.5000000000000006E-3</v>
          </cell>
          <cell r="G49" t="str">
            <v/>
          </cell>
          <cell r="H49" t="str">
            <v/>
          </cell>
          <cell r="I49" t="str">
            <v/>
          </cell>
          <cell r="J49" t="str">
            <v/>
          </cell>
          <cell r="K49">
            <v>9.6999999999999986E-3</v>
          </cell>
          <cell r="L49">
            <v>6.2000000000000006E-3</v>
          </cell>
        </row>
        <row r="50">
          <cell r="B50" t="str">
            <v>7750 MDA-e GE</v>
          </cell>
          <cell r="C50">
            <v>0.75</v>
          </cell>
          <cell r="D50">
            <v>2.5000000000000001E-2</v>
          </cell>
          <cell r="E50">
            <v>1.0999999999999999E-2</v>
          </cell>
          <cell r="F50">
            <v>7.5000000000000006E-3</v>
          </cell>
          <cell r="G50" t="str">
            <v/>
          </cell>
          <cell r="H50" t="str">
            <v/>
          </cell>
          <cell r="I50" t="str">
            <v/>
          </cell>
          <cell r="J50" t="str">
            <v/>
          </cell>
          <cell r="K50">
            <v>9.6999999999999986E-3</v>
          </cell>
          <cell r="L50">
            <v>6.2000000000000006E-3</v>
          </cell>
        </row>
        <row r="51">
          <cell r="B51" t="str">
            <v>7750 MDA-e-XP</v>
          </cell>
          <cell r="C51">
            <v>0.75</v>
          </cell>
          <cell r="D51">
            <v>2.5000000000000001E-2</v>
          </cell>
          <cell r="E51">
            <v>1.0999999999999999E-2</v>
          </cell>
          <cell r="F51">
            <v>7.5000000000000006E-3</v>
          </cell>
          <cell r="G51" t="str">
            <v/>
          </cell>
          <cell r="H51" t="str">
            <v/>
          </cell>
          <cell r="I51" t="str">
            <v/>
          </cell>
          <cell r="J51" t="str">
            <v/>
          </cell>
          <cell r="K51">
            <v>9.6999999999999986E-3</v>
          </cell>
          <cell r="L51">
            <v>6.2000000000000006E-3</v>
          </cell>
        </row>
        <row r="52">
          <cell r="B52" t="str">
            <v>7750 MS-ISA/ISM Cards</v>
          </cell>
          <cell r="C52">
            <v>0.75</v>
          </cell>
          <cell r="D52">
            <v>2.5000000000000001E-2</v>
          </cell>
          <cell r="E52">
            <v>1.0999999999999999E-2</v>
          </cell>
          <cell r="F52">
            <v>7.5000000000000006E-3</v>
          </cell>
          <cell r="G52" t="str">
            <v/>
          </cell>
          <cell r="H52" t="str">
            <v/>
          </cell>
          <cell r="I52" t="str">
            <v/>
          </cell>
          <cell r="J52" t="str">
            <v/>
          </cell>
          <cell r="K52">
            <v>9.6999999999999986E-3</v>
          </cell>
          <cell r="L52">
            <v>6.2000000000000006E-3</v>
          </cell>
        </row>
        <row r="53">
          <cell r="B53" t="str">
            <v>7750 Power Systems</v>
          </cell>
          <cell r="C53">
            <v>0.75</v>
          </cell>
          <cell r="D53">
            <v>2.5000000000000001E-2</v>
          </cell>
          <cell r="E53">
            <v>1.0999999999999999E-2</v>
          </cell>
          <cell r="F53">
            <v>7.5000000000000006E-3</v>
          </cell>
          <cell r="G53" t="str">
            <v/>
          </cell>
          <cell r="H53" t="str">
            <v/>
          </cell>
          <cell r="I53" t="str">
            <v/>
          </cell>
          <cell r="J53" t="str">
            <v/>
          </cell>
          <cell r="K53">
            <v>9.6999999999999986E-3</v>
          </cell>
          <cell r="L53">
            <v>6.2000000000000006E-3</v>
          </cell>
        </row>
        <row r="54">
          <cell r="B54" t="str">
            <v>7750 SR Bundles</v>
          </cell>
          <cell r="C54">
            <v>0.75</v>
          </cell>
          <cell r="D54">
            <v>2.5000000000000001E-2</v>
          </cell>
          <cell r="E54">
            <v>1.0999999999999999E-2</v>
          </cell>
          <cell r="F54">
            <v>7.5000000000000006E-3</v>
          </cell>
          <cell r="G54" t="str">
            <v/>
          </cell>
          <cell r="H54" t="str">
            <v/>
          </cell>
          <cell r="I54" t="str">
            <v/>
          </cell>
          <cell r="J54" t="str">
            <v/>
          </cell>
          <cell r="K54">
            <v>9.6999999999999986E-3</v>
          </cell>
          <cell r="L54">
            <v>6.2000000000000006E-3</v>
          </cell>
        </row>
        <row r="55">
          <cell r="B55" t="str">
            <v>7750 SR-1 Bundles</v>
          </cell>
          <cell r="C55">
            <v>0.75</v>
          </cell>
          <cell r="D55">
            <v>2.5000000000000001E-2</v>
          </cell>
          <cell r="E55">
            <v>1.38E-2</v>
          </cell>
          <cell r="F55">
            <v>1.03E-2</v>
          </cell>
          <cell r="G55" t="str">
            <v/>
          </cell>
          <cell r="H55" t="str">
            <v/>
          </cell>
          <cell r="I55" t="str">
            <v/>
          </cell>
          <cell r="J55" t="str">
            <v/>
          </cell>
          <cell r="K55">
            <v>1.21E-2</v>
          </cell>
          <cell r="L55">
            <v>8.6E-3</v>
          </cell>
        </row>
        <row r="56">
          <cell r="B56" t="str">
            <v>7750 SR-1 Common Equipment</v>
          </cell>
          <cell r="C56">
            <v>0.75</v>
          </cell>
          <cell r="D56">
            <v>2.5000000000000001E-2</v>
          </cell>
          <cell r="E56">
            <v>1.38E-2</v>
          </cell>
          <cell r="F56">
            <v>1.03E-2</v>
          </cell>
          <cell r="G56" t="str">
            <v/>
          </cell>
          <cell r="H56" t="str">
            <v/>
          </cell>
          <cell r="I56" t="str">
            <v/>
          </cell>
          <cell r="J56" t="str">
            <v/>
          </cell>
          <cell r="K56">
            <v>1.21E-2</v>
          </cell>
          <cell r="L56">
            <v>8.6E-3</v>
          </cell>
        </row>
        <row r="57">
          <cell r="B57" t="str">
            <v>7750 SR-1/2/3e Common Equipment</v>
          </cell>
          <cell r="C57">
            <v>0.75</v>
          </cell>
          <cell r="D57">
            <v>2.5000000000000001E-2</v>
          </cell>
          <cell r="E57">
            <v>1.0999999999999999E-2</v>
          </cell>
          <cell r="F57">
            <v>7.5000000000000006E-3</v>
          </cell>
          <cell r="G57" t="str">
            <v/>
          </cell>
          <cell r="H57" t="str">
            <v/>
          </cell>
          <cell r="I57" t="str">
            <v/>
          </cell>
          <cell r="J57" t="str">
            <v/>
          </cell>
          <cell r="K57">
            <v>9.6999999999999986E-3</v>
          </cell>
          <cell r="L57">
            <v>6.2000000000000006E-3</v>
          </cell>
        </row>
        <row r="58">
          <cell r="B58" t="str">
            <v xml:space="preserve">7750 SR-1/2/3e IOM </v>
          </cell>
          <cell r="C58">
            <v>0.75</v>
          </cell>
          <cell r="D58">
            <v>2.5000000000000001E-2</v>
          </cell>
          <cell r="E58">
            <v>1.0999999999999999E-2</v>
          </cell>
          <cell r="F58">
            <v>7.5000000000000006E-3</v>
          </cell>
          <cell r="G58" t="str">
            <v/>
          </cell>
          <cell r="H58" t="str">
            <v/>
          </cell>
          <cell r="I58" t="str">
            <v/>
          </cell>
          <cell r="J58" t="str">
            <v/>
          </cell>
          <cell r="K58">
            <v>9.6999999999999986E-3</v>
          </cell>
          <cell r="L58">
            <v>6.2000000000000006E-3</v>
          </cell>
        </row>
        <row r="59">
          <cell r="B59" t="str">
            <v>7750 SR-7 /SR-12 /SR-12e Common Equipment</v>
          </cell>
          <cell r="C59">
            <v>0.75</v>
          </cell>
          <cell r="D59">
            <v>2.5000000000000001E-2</v>
          </cell>
          <cell r="E59">
            <v>1.0999999999999999E-2</v>
          </cell>
          <cell r="F59">
            <v>7.5000000000000006E-3</v>
          </cell>
          <cell r="G59" t="str">
            <v/>
          </cell>
          <cell r="H59" t="str">
            <v/>
          </cell>
          <cell r="I59" t="str">
            <v/>
          </cell>
          <cell r="J59" t="str">
            <v/>
          </cell>
          <cell r="K59">
            <v>9.6999999999999986E-3</v>
          </cell>
          <cell r="L59">
            <v>6.2000000000000006E-3</v>
          </cell>
        </row>
        <row r="60">
          <cell r="B60" t="str">
            <v>7750 SR-a Chassis/ CPM</v>
          </cell>
          <cell r="C60">
            <v>0.68</v>
          </cell>
          <cell r="D60">
            <v>2.5000000000000001E-2</v>
          </cell>
          <cell r="E60">
            <v>1.38E-2</v>
          </cell>
          <cell r="F60">
            <v>1.03E-2</v>
          </cell>
          <cell r="G60" t="str">
            <v/>
          </cell>
          <cell r="H60" t="str">
            <v/>
          </cell>
          <cell r="I60" t="str">
            <v/>
          </cell>
          <cell r="J60" t="str">
            <v/>
          </cell>
          <cell r="K60">
            <v>1.21E-2</v>
          </cell>
          <cell r="L60">
            <v>8.6E-3</v>
          </cell>
        </row>
        <row r="61">
          <cell r="B61" t="str">
            <v>7750 SR-a IOM-a L2HQ</v>
          </cell>
          <cell r="C61">
            <v>0.68</v>
          </cell>
          <cell r="D61">
            <v>2.5000000000000001E-2</v>
          </cell>
          <cell r="E61">
            <v>1.38E-2</v>
          </cell>
          <cell r="F61">
            <v>1.03E-2</v>
          </cell>
          <cell r="G61" t="str">
            <v/>
          </cell>
          <cell r="H61" t="str">
            <v/>
          </cell>
          <cell r="I61" t="str">
            <v/>
          </cell>
          <cell r="J61" t="str">
            <v/>
          </cell>
          <cell r="K61">
            <v>1.21E-2</v>
          </cell>
          <cell r="L61">
            <v>8.6E-3</v>
          </cell>
        </row>
        <row r="62">
          <cell r="B62" t="str">
            <v>7750 SR-a IOM-a L3BQ</v>
          </cell>
          <cell r="C62">
            <v>0.68</v>
          </cell>
          <cell r="D62">
            <v>2.5000000000000001E-2</v>
          </cell>
          <cell r="E62">
            <v>1.38E-2</v>
          </cell>
          <cell r="F62">
            <v>1.03E-2</v>
          </cell>
          <cell r="G62" t="str">
            <v/>
          </cell>
          <cell r="H62" t="str">
            <v/>
          </cell>
          <cell r="I62" t="str">
            <v/>
          </cell>
          <cell r="J62" t="str">
            <v/>
          </cell>
          <cell r="K62">
            <v>1.21E-2</v>
          </cell>
          <cell r="L62">
            <v>8.6E-3</v>
          </cell>
        </row>
        <row r="63">
          <cell r="B63" t="str">
            <v>7750 SR-a IOM-a L3HQ</v>
          </cell>
          <cell r="C63">
            <v>0.68</v>
          </cell>
          <cell r="D63">
            <v>2.5000000000000001E-2</v>
          </cell>
          <cell r="E63">
            <v>1.38E-2</v>
          </cell>
          <cell r="F63">
            <v>1.03E-2</v>
          </cell>
          <cell r="G63" t="str">
            <v/>
          </cell>
          <cell r="H63" t="str">
            <v/>
          </cell>
          <cell r="I63" t="str">
            <v/>
          </cell>
          <cell r="J63" t="str">
            <v/>
          </cell>
          <cell r="K63">
            <v>1.21E-2</v>
          </cell>
          <cell r="L63">
            <v>8.6E-3</v>
          </cell>
        </row>
        <row r="64">
          <cell r="B64" t="str">
            <v>7750 SR-a MDA-a</v>
          </cell>
          <cell r="C64">
            <v>0.75</v>
          </cell>
          <cell r="D64">
            <v>2.5000000000000001E-2</v>
          </cell>
          <cell r="E64">
            <v>1.38E-2</v>
          </cell>
          <cell r="F64">
            <v>1.03E-2</v>
          </cell>
          <cell r="G64" t="str">
            <v/>
          </cell>
          <cell r="H64" t="str">
            <v/>
          </cell>
          <cell r="I64" t="str">
            <v/>
          </cell>
          <cell r="J64" t="str">
            <v/>
          </cell>
          <cell r="K64">
            <v>1.21E-2</v>
          </cell>
          <cell r="L64">
            <v>8.6E-3</v>
          </cell>
        </row>
        <row r="65">
          <cell r="B65" t="str">
            <v>7750 SR-e Bundles</v>
          </cell>
          <cell r="C65">
            <v>0.75</v>
          </cell>
          <cell r="D65">
            <v>2.5000000000000001E-2</v>
          </cell>
          <cell r="E65">
            <v>1.0999999999999999E-2</v>
          </cell>
          <cell r="F65">
            <v>7.5000000000000006E-3</v>
          </cell>
          <cell r="G65" t="str">
            <v/>
          </cell>
          <cell r="H65" t="str">
            <v/>
          </cell>
          <cell r="I65" t="str">
            <v/>
          </cell>
          <cell r="J65" t="str">
            <v/>
          </cell>
          <cell r="K65">
            <v>9.6999999999999986E-3</v>
          </cell>
          <cell r="L65">
            <v>6.2000000000000006E-3</v>
          </cell>
        </row>
        <row r="66">
          <cell r="B66" t="str">
            <v>7750 SR-s Accessories</v>
          </cell>
          <cell r="C66">
            <v>0.6</v>
          </cell>
          <cell r="D66">
            <v>2.5000000000000001E-2</v>
          </cell>
          <cell r="E66">
            <v>1.38E-2</v>
          </cell>
          <cell r="F66">
            <v>1.03E-2</v>
          </cell>
          <cell r="G66" t="str">
            <v/>
          </cell>
          <cell r="H66" t="str">
            <v/>
          </cell>
          <cell r="I66" t="str">
            <v/>
          </cell>
          <cell r="J66" t="str">
            <v/>
          </cell>
          <cell r="K66">
            <v>1.21E-2</v>
          </cell>
          <cell r="L66">
            <v>8.6E-3</v>
          </cell>
        </row>
        <row r="67">
          <cell r="B67" t="str">
            <v>7750 SR-s Bundles</v>
          </cell>
          <cell r="C67">
            <v>0.75</v>
          </cell>
          <cell r="D67">
            <v>2.5000000000000001E-2</v>
          </cell>
          <cell r="E67">
            <v>1.38E-2</v>
          </cell>
          <cell r="F67">
            <v>1.03E-2</v>
          </cell>
          <cell r="G67" t="str">
            <v/>
          </cell>
          <cell r="H67" t="str">
            <v/>
          </cell>
          <cell r="I67" t="str">
            <v/>
          </cell>
          <cell r="J67" t="str">
            <v/>
          </cell>
          <cell r="K67">
            <v>1.21E-2</v>
          </cell>
          <cell r="L67">
            <v>8.6E-3</v>
          </cell>
        </row>
        <row r="68">
          <cell r="B68" t="str">
            <v>7750 SR-s Common Equipment</v>
          </cell>
          <cell r="C68">
            <v>0.75</v>
          </cell>
          <cell r="D68">
            <v>2.5000000000000001E-2</v>
          </cell>
          <cell r="E68">
            <v>1.38E-2</v>
          </cell>
          <cell r="F68">
            <v>1.03E-2</v>
          </cell>
          <cell r="G68" t="str">
            <v/>
          </cell>
          <cell r="H68" t="str">
            <v/>
          </cell>
          <cell r="I68" t="str">
            <v/>
          </cell>
          <cell r="J68" t="str">
            <v/>
          </cell>
          <cell r="K68">
            <v>1.21E-2</v>
          </cell>
          <cell r="L68">
            <v>8.6E-3</v>
          </cell>
        </row>
        <row r="69">
          <cell r="B69" t="str">
            <v>7750 SR-s IOM-s CR</v>
          </cell>
          <cell r="C69">
            <v>0.75</v>
          </cell>
          <cell r="D69">
            <v>2.5000000000000001E-2</v>
          </cell>
          <cell r="E69">
            <v>1.38E-2</v>
          </cell>
          <cell r="F69">
            <v>1.03E-2</v>
          </cell>
          <cell r="G69" t="str">
            <v/>
          </cell>
          <cell r="H69" t="str">
            <v/>
          </cell>
          <cell r="I69" t="str">
            <v/>
          </cell>
          <cell r="J69" t="str">
            <v/>
          </cell>
          <cell r="K69">
            <v>1.21E-2</v>
          </cell>
          <cell r="L69">
            <v>8.6E-3</v>
          </cell>
        </row>
        <row r="70">
          <cell r="B70" t="str">
            <v>7750 SR-s IOM-s ER</v>
          </cell>
          <cell r="C70">
            <v>0.75</v>
          </cell>
          <cell r="D70">
            <v>2.5000000000000001E-2</v>
          </cell>
          <cell r="E70">
            <v>1.38E-2</v>
          </cell>
          <cell r="F70">
            <v>1.03E-2</v>
          </cell>
          <cell r="G70" t="str">
            <v/>
          </cell>
          <cell r="H70" t="str">
            <v/>
          </cell>
          <cell r="I70" t="str">
            <v/>
          </cell>
          <cell r="J70" t="str">
            <v/>
          </cell>
          <cell r="K70">
            <v>1.21E-2</v>
          </cell>
          <cell r="L70">
            <v>8.6E-3</v>
          </cell>
        </row>
        <row r="71">
          <cell r="B71" t="str">
            <v>7750 SR-s IOM-s HE</v>
          </cell>
          <cell r="C71">
            <v>0.75</v>
          </cell>
          <cell r="D71">
            <v>2.5000000000000001E-2</v>
          </cell>
          <cell r="E71">
            <v>1.38E-2</v>
          </cell>
          <cell r="F71">
            <v>1.03E-2</v>
          </cell>
          <cell r="G71" t="str">
            <v/>
          </cell>
          <cell r="H71" t="str">
            <v/>
          </cell>
          <cell r="I71" t="str">
            <v/>
          </cell>
          <cell r="J71" t="str">
            <v/>
          </cell>
          <cell r="K71">
            <v>1.21E-2</v>
          </cell>
          <cell r="L71">
            <v>8.6E-3</v>
          </cell>
        </row>
        <row r="72">
          <cell r="B72" t="str">
            <v>7750 SR-s MDA-s</v>
          </cell>
          <cell r="C72">
            <v>0.75</v>
          </cell>
          <cell r="D72">
            <v>2.5000000000000001E-2</v>
          </cell>
          <cell r="E72">
            <v>1.38E-2</v>
          </cell>
          <cell r="F72">
            <v>1.03E-2</v>
          </cell>
          <cell r="G72" t="str">
            <v/>
          </cell>
          <cell r="H72" t="str">
            <v/>
          </cell>
          <cell r="I72" t="str">
            <v/>
          </cell>
          <cell r="J72" t="str">
            <v/>
          </cell>
          <cell r="K72">
            <v>1.21E-2</v>
          </cell>
          <cell r="L72">
            <v>8.6E-3</v>
          </cell>
        </row>
        <row r="73">
          <cell r="B73" t="str">
            <v>7750 SR-s Power Equipment</v>
          </cell>
          <cell r="C73">
            <v>0.75</v>
          </cell>
          <cell r="D73">
            <v>2.5000000000000001E-2</v>
          </cell>
          <cell r="E73">
            <v>1.38E-2</v>
          </cell>
          <cell r="F73">
            <v>1.03E-2</v>
          </cell>
          <cell r="G73" t="str">
            <v/>
          </cell>
          <cell r="H73" t="str">
            <v/>
          </cell>
          <cell r="I73" t="str">
            <v/>
          </cell>
          <cell r="J73" t="str">
            <v/>
          </cell>
          <cell r="K73">
            <v>1.21E-2</v>
          </cell>
          <cell r="L73">
            <v>8.6E-3</v>
          </cell>
        </row>
        <row r="74">
          <cell r="B74" t="str">
            <v>7750 SR-s RTU License /Upgrade</v>
          </cell>
          <cell r="C74">
            <v>0.75</v>
          </cell>
          <cell r="D74">
            <v>2.5000000000000001E-2</v>
          </cell>
          <cell r="E74">
            <v>1.38E-2</v>
          </cell>
          <cell r="F74">
            <v>1.03E-2</v>
          </cell>
          <cell r="G74" t="str">
            <v/>
          </cell>
          <cell r="H74" t="str">
            <v/>
          </cell>
          <cell r="I74" t="str">
            <v/>
          </cell>
          <cell r="J74" t="str">
            <v/>
          </cell>
          <cell r="K74">
            <v>1.21E-2</v>
          </cell>
          <cell r="L74">
            <v>8.6E-3</v>
          </cell>
        </row>
        <row r="75">
          <cell r="B75" t="str">
            <v>7750 SR-s XCM</v>
          </cell>
          <cell r="C75">
            <v>0.75</v>
          </cell>
          <cell r="D75">
            <v>2.5000000000000001E-2</v>
          </cell>
          <cell r="E75">
            <v>1.38E-2</v>
          </cell>
          <cell r="F75">
            <v>1.03E-2</v>
          </cell>
          <cell r="G75" t="str">
            <v/>
          </cell>
          <cell r="H75" t="str">
            <v/>
          </cell>
          <cell r="I75" t="str">
            <v/>
          </cell>
          <cell r="J75" t="str">
            <v/>
          </cell>
          <cell r="K75">
            <v>1.21E-2</v>
          </cell>
          <cell r="L75">
            <v>8.6E-3</v>
          </cell>
        </row>
        <row r="76">
          <cell r="B76" t="str">
            <v>7750 SR-s XMA</v>
          </cell>
          <cell r="C76">
            <v>0.75</v>
          </cell>
          <cell r="D76">
            <v>2.5000000000000001E-2</v>
          </cell>
          <cell r="E76">
            <v>1.38E-2</v>
          </cell>
          <cell r="F76">
            <v>1.03E-2</v>
          </cell>
          <cell r="G76" t="str">
            <v/>
          </cell>
          <cell r="H76" t="str">
            <v/>
          </cell>
          <cell r="I76" t="str">
            <v/>
          </cell>
          <cell r="J76" t="str">
            <v/>
          </cell>
          <cell r="K76">
            <v>1.21E-2</v>
          </cell>
          <cell r="L76">
            <v>8.6E-3</v>
          </cell>
        </row>
        <row r="77">
          <cell r="B77" t="str">
            <v>7x50 12-Port 10GE IMM (L3BQ/L2HQ/L3HQ)</v>
          </cell>
          <cell r="C77">
            <v>0.75</v>
          </cell>
          <cell r="D77">
            <v>2.5000000000000001E-2</v>
          </cell>
          <cell r="E77">
            <v>1.0999999999999999E-2</v>
          </cell>
          <cell r="F77">
            <v>7.5000000000000006E-3</v>
          </cell>
          <cell r="G77" t="str">
            <v/>
          </cell>
          <cell r="H77" t="str">
            <v/>
          </cell>
          <cell r="I77" t="str">
            <v/>
          </cell>
          <cell r="J77" t="str">
            <v/>
          </cell>
          <cell r="K77">
            <v>9.6999999999999986E-3</v>
          </cell>
          <cell r="L77">
            <v>6.2000000000000006E-3</v>
          </cell>
        </row>
        <row r="78">
          <cell r="B78" t="str">
            <v>7x50 1-Port 100GE IMM (L3BQ/L2HQ/L3HQ)</v>
          </cell>
          <cell r="C78">
            <v>0.75</v>
          </cell>
          <cell r="D78">
            <v>2.5000000000000001E-2</v>
          </cell>
          <cell r="E78">
            <v>1.0999999999999999E-2</v>
          </cell>
          <cell r="F78">
            <v>7.5000000000000006E-3</v>
          </cell>
          <cell r="G78" t="str">
            <v/>
          </cell>
          <cell r="H78" t="str">
            <v/>
          </cell>
          <cell r="I78" t="str">
            <v/>
          </cell>
          <cell r="J78" t="str">
            <v/>
          </cell>
          <cell r="K78">
            <v>9.6999999999999986E-3</v>
          </cell>
          <cell r="L78">
            <v>6.2000000000000006E-3</v>
          </cell>
        </row>
        <row r="79">
          <cell r="B79" t="str">
            <v>7x50 20-Port 10GE IMM L3BQ/L2HQ</v>
          </cell>
          <cell r="C79">
            <v>0.75</v>
          </cell>
          <cell r="D79">
            <v>2.5000000000000001E-2</v>
          </cell>
          <cell r="E79">
            <v>1.0999999999999999E-2</v>
          </cell>
          <cell r="F79">
            <v>7.5000000000000006E-3</v>
          </cell>
          <cell r="G79" t="str">
            <v/>
          </cell>
          <cell r="H79" t="str">
            <v/>
          </cell>
          <cell r="I79" t="str">
            <v/>
          </cell>
          <cell r="J79" t="str">
            <v/>
          </cell>
          <cell r="K79">
            <v>9.6999999999999986E-3</v>
          </cell>
          <cell r="L79">
            <v>6.2000000000000006E-3</v>
          </cell>
        </row>
        <row r="80">
          <cell r="B80" t="str">
            <v>7x50 20-Port 10GE IMM L3HQ</v>
          </cell>
          <cell r="C80">
            <v>0.75</v>
          </cell>
          <cell r="D80">
            <v>2.5000000000000001E-2</v>
          </cell>
          <cell r="E80">
            <v>1.0999999999999999E-2</v>
          </cell>
          <cell r="F80">
            <v>7.5000000000000006E-3</v>
          </cell>
          <cell r="G80" t="str">
            <v/>
          </cell>
          <cell r="H80" t="str">
            <v/>
          </cell>
          <cell r="I80" t="str">
            <v/>
          </cell>
          <cell r="J80" t="str">
            <v/>
          </cell>
          <cell r="K80">
            <v>9.6999999999999986E-3</v>
          </cell>
          <cell r="L80">
            <v>6.2000000000000006E-3</v>
          </cell>
        </row>
        <row r="81">
          <cell r="B81" t="str">
            <v>7x50 2-Port 100GE IMM (L3BQ/L2HQ/L3HQ)</v>
          </cell>
          <cell r="C81">
            <v>0.75</v>
          </cell>
          <cell r="D81">
            <v>2.5000000000000001E-2</v>
          </cell>
          <cell r="E81">
            <v>1.0999999999999999E-2</v>
          </cell>
          <cell r="F81">
            <v>7.5000000000000006E-3</v>
          </cell>
          <cell r="G81" t="str">
            <v/>
          </cell>
          <cell r="H81" t="str">
            <v/>
          </cell>
          <cell r="I81" t="str">
            <v/>
          </cell>
          <cell r="J81" t="str">
            <v/>
          </cell>
          <cell r="K81">
            <v>9.6999999999999986E-3</v>
          </cell>
          <cell r="L81">
            <v>6.2000000000000006E-3</v>
          </cell>
        </row>
        <row r="82">
          <cell r="B82" t="str">
            <v>7x50 40-Port 10GE IMM L3BQ/L2HQ</v>
          </cell>
          <cell r="C82">
            <v>0.75</v>
          </cell>
          <cell r="D82">
            <v>2.5000000000000001E-2</v>
          </cell>
          <cell r="E82">
            <v>1.0999999999999999E-2</v>
          </cell>
          <cell r="F82">
            <v>7.5000000000000006E-3</v>
          </cell>
          <cell r="G82" t="str">
            <v/>
          </cell>
          <cell r="H82" t="str">
            <v/>
          </cell>
          <cell r="I82" t="str">
            <v/>
          </cell>
          <cell r="J82" t="str">
            <v/>
          </cell>
          <cell r="K82">
            <v>9.6999999999999986E-3</v>
          </cell>
          <cell r="L82">
            <v>6.2000000000000006E-3</v>
          </cell>
        </row>
        <row r="83">
          <cell r="B83" t="str">
            <v>7x50 40-Port 10GE IMM L3HQ</v>
          </cell>
          <cell r="C83">
            <v>0.75</v>
          </cell>
          <cell r="D83">
            <v>2.5000000000000001E-2</v>
          </cell>
          <cell r="E83">
            <v>1.0999999999999999E-2</v>
          </cell>
          <cell r="F83">
            <v>7.5000000000000006E-3</v>
          </cell>
          <cell r="G83" t="str">
            <v/>
          </cell>
          <cell r="H83" t="str">
            <v/>
          </cell>
          <cell r="I83" t="str">
            <v/>
          </cell>
          <cell r="J83" t="str">
            <v/>
          </cell>
          <cell r="K83">
            <v>9.6999999999999986E-3</v>
          </cell>
          <cell r="L83">
            <v>6.2000000000000006E-3</v>
          </cell>
        </row>
        <row r="84">
          <cell r="B84" t="str">
            <v>7x50 4-Port 100GE IMM (L3BQ/L2HQ/L3HQ)</v>
          </cell>
          <cell r="C84">
            <v>0.75</v>
          </cell>
          <cell r="D84">
            <v>2.5000000000000001E-2</v>
          </cell>
          <cell r="E84">
            <v>1.0999999999999999E-2</v>
          </cell>
          <cell r="F84">
            <v>7.5000000000000006E-3</v>
          </cell>
          <cell r="G84" t="str">
            <v/>
          </cell>
          <cell r="H84" t="str">
            <v/>
          </cell>
          <cell r="I84" t="str">
            <v/>
          </cell>
          <cell r="J84" t="str">
            <v/>
          </cell>
          <cell r="K84">
            <v>9.6999999999999986E-3</v>
          </cell>
          <cell r="L84">
            <v>6.2000000000000006E-3</v>
          </cell>
        </row>
        <row r="85">
          <cell r="B85" t="str">
            <v>7X50 RTU License /Upgrade</v>
          </cell>
          <cell r="C85">
            <v>0.75</v>
          </cell>
          <cell r="D85">
            <v>2.5000000000000001E-2</v>
          </cell>
          <cell r="E85">
            <v>1.0999999999999999E-2</v>
          </cell>
          <cell r="F85">
            <v>7.5000000000000006E-3</v>
          </cell>
          <cell r="G85" t="str">
            <v/>
          </cell>
          <cell r="H85" t="str">
            <v/>
          </cell>
          <cell r="I85" t="str">
            <v/>
          </cell>
          <cell r="J85" t="str">
            <v/>
          </cell>
          <cell r="K85">
            <v>9.6999999999999986E-3</v>
          </cell>
          <cell r="L85">
            <v>6.2000000000000006E-3</v>
          </cell>
        </row>
        <row r="86">
          <cell r="B86" t="str">
            <v>7x50 SR-OS</v>
          </cell>
          <cell r="C86">
            <v>0.75</v>
          </cell>
          <cell r="D86">
            <v>2.5000000000000001E-2</v>
          </cell>
          <cell r="E86">
            <v>1.0999999999999999E-2</v>
          </cell>
          <cell r="F86">
            <v>7.5000000000000006E-3</v>
          </cell>
          <cell r="G86" t="str">
            <v/>
          </cell>
          <cell r="H86" t="str">
            <v/>
          </cell>
          <cell r="I86" t="str">
            <v/>
          </cell>
          <cell r="J86" t="str">
            <v/>
          </cell>
          <cell r="K86">
            <v>9.6999999999999986E-3</v>
          </cell>
          <cell r="L86">
            <v>6.2000000000000006E-3</v>
          </cell>
        </row>
        <row r="87">
          <cell r="B87" t="str">
            <v>CMU</v>
          </cell>
          <cell r="C87">
            <v>0.1</v>
          </cell>
          <cell r="D87">
            <v>0.2</v>
          </cell>
          <cell r="E87" t="str">
            <v>N/A</v>
          </cell>
          <cell r="F87" t="str">
            <v>N/A</v>
          </cell>
          <cell r="G87" t="str">
            <v/>
          </cell>
          <cell r="H87" t="str">
            <v/>
          </cell>
          <cell r="I87" t="str">
            <v/>
          </cell>
          <cell r="J87" t="str">
            <v/>
          </cell>
          <cell r="K87" t="str">
            <v>N/A</v>
          </cell>
          <cell r="L87" t="str">
            <v>N/A</v>
          </cell>
        </row>
        <row r="88">
          <cell r="B88" t="str">
            <v>CMU HW</v>
          </cell>
          <cell r="C88">
            <v>0.3</v>
          </cell>
          <cell r="D88">
            <v>0</v>
          </cell>
          <cell r="E88" t="str">
            <v>N/A</v>
          </cell>
          <cell r="F88" t="str">
            <v>N/A</v>
          </cell>
          <cell r="G88" t="str">
            <v/>
          </cell>
          <cell r="H88" t="str">
            <v/>
          </cell>
          <cell r="I88" t="str">
            <v/>
          </cell>
          <cell r="J88" t="str">
            <v/>
          </cell>
          <cell r="K88" t="str">
            <v>N/A</v>
          </cell>
          <cell r="L88" t="str">
            <v>N/A</v>
          </cell>
        </row>
        <row r="89">
          <cell r="B89" t="str">
            <v>MPW20 Services</v>
          </cell>
          <cell r="C89">
            <v>0</v>
          </cell>
          <cell r="D89">
            <v>0</v>
          </cell>
          <cell r="E89" t="str">
            <v>N/A</v>
          </cell>
          <cell r="F89" t="str">
            <v>N/A</v>
          </cell>
          <cell r="G89" t="str">
            <v/>
          </cell>
          <cell r="H89" t="str">
            <v/>
          </cell>
          <cell r="I89" t="str">
            <v/>
          </cell>
          <cell r="J89" t="str">
            <v/>
          </cell>
          <cell r="K89" t="str">
            <v>N/A</v>
          </cell>
          <cell r="L89" t="str">
            <v>N/A</v>
          </cell>
        </row>
        <row r="90">
          <cell r="B90" t="str">
            <v>IPR Patch PNL, Cable, Module</v>
          </cell>
          <cell r="C90">
            <v>0.75</v>
          </cell>
          <cell r="D90">
            <v>2.5000000000000001E-2</v>
          </cell>
          <cell r="E90">
            <v>2.18E-2</v>
          </cell>
          <cell r="F90">
            <v>1.83E-2</v>
          </cell>
          <cell r="G90" t="str">
            <v/>
          </cell>
          <cell r="H90" t="str">
            <v/>
          </cell>
          <cell r="I90" t="str">
            <v/>
          </cell>
          <cell r="J90" t="str">
            <v/>
          </cell>
          <cell r="K90">
            <v>1.9300000000000001E-2</v>
          </cell>
          <cell r="L90">
            <v>1.5800000000000002E-2</v>
          </cell>
        </row>
        <row r="91">
          <cell r="B91" t="str">
            <v>IPR Pluggable Modules 100G /CXP,CFP,CFP2,CFP4</v>
          </cell>
          <cell r="C91">
            <v>0.85</v>
          </cell>
          <cell r="D91">
            <v>2.5000000000000001E-2</v>
          </cell>
          <cell r="E91">
            <v>1.1984E-2</v>
          </cell>
          <cell r="F91">
            <v>1.0699999999999999E-2</v>
          </cell>
          <cell r="G91" t="str">
            <v/>
          </cell>
          <cell r="H91" t="str">
            <v/>
          </cell>
          <cell r="I91" t="str">
            <v/>
          </cell>
          <cell r="J91" t="str">
            <v/>
          </cell>
          <cell r="K91">
            <v>1.12E-2</v>
          </cell>
          <cell r="L91">
            <v>9.8399999999999998E-3</v>
          </cell>
        </row>
        <row r="92">
          <cell r="B92" t="str">
            <v>IPR Pluggable Modules 100G /QSFP28</v>
          </cell>
          <cell r="C92">
            <v>0.79999999999999993</v>
          </cell>
          <cell r="D92">
            <v>2.5000000000000001E-2</v>
          </cell>
          <cell r="E92">
            <v>1.1984E-2</v>
          </cell>
          <cell r="F92">
            <v>1.0699999999999999E-2</v>
          </cell>
          <cell r="G92" t="str">
            <v/>
          </cell>
          <cell r="H92" t="str">
            <v/>
          </cell>
          <cell r="I92" t="str">
            <v/>
          </cell>
          <cell r="J92" t="str">
            <v/>
          </cell>
          <cell r="K92">
            <v>1.12E-2</v>
          </cell>
          <cell r="L92">
            <v>9.8399999999999998E-3</v>
          </cell>
        </row>
        <row r="93">
          <cell r="B93" t="str">
            <v>IPR Pluggable Modules 10G /XFP,SFP+</v>
          </cell>
          <cell r="C93">
            <v>0.85</v>
          </cell>
          <cell r="D93">
            <v>2.5000000000000001E-2</v>
          </cell>
          <cell r="E93">
            <v>1.1984E-2</v>
          </cell>
          <cell r="F93">
            <v>1.0699999999999999E-2</v>
          </cell>
          <cell r="G93" t="str">
            <v/>
          </cell>
          <cell r="H93" t="str">
            <v/>
          </cell>
          <cell r="I93" t="str">
            <v/>
          </cell>
          <cell r="J93" t="str">
            <v/>
          </cell>
          <cell r="K93">
            <v>1.12E-2</v>
          </cell>
          <cell r="L93">
            <v>9.8399999999999998E-3</v>
          </cell>
        </row>
        <row r="94">
          <cell r="B94" t="str">
            <v>IPR Pluggable Modules 1G /SFP,cSFP</v>
          </cell>
          <cell r="C94">
            <v>0.85</v>
          </cell>
          <cell r="D94">
            <v>2.5000000000000001E-2</v>
          </cell>
          <cell r="E94">
            <v>1.1984E-2</v>
          </cell>
          <cell r="F94">
            <v>1.0699999999999999E-2</v>
          </cell>
          <cell r="G94" t="str">
            <v/>
          </cell>
          <cell r="H94" t="str">
            <v/>
          </cell>
          <cell r="I94" t="str">
            <v/>
          </cell>
          <cell r="J94" t="str">
            <v/>
          </cell>
          <cell r="K94">
            <v>1.12E-2</v>
          </cell>
          <cell r="L94">
            <v>9.8399999999999998E-3</v>
          </cell>
        </row>
        <row r="95">
          <cell r="B95" t="str">
            <v>IPR Pluggable Modules 200G /QSFP28-DD, CFP2-DCO</v>
          </cell>
          <cell r="C95">
            <v>0.8</v>
          </cell>
          <cell r="D95">
            <v>2.5000000000000001E-2</v>
          </cell>
          <cell r="E95">
            <v>1.1984E-2</v>
          </cell>
          <cell r="F95">
            <v>1.0699999999999999E-2</v>
          </cell>
          <cell r="G95" t="str">
            <v/>
          </cell>
          <cell r="H95" t="str">
            <v/>
          </cell>
          <cell r="I95" t="str">
            <v/>
          </cell>
          <cell r="J95" t="str">
            <v/>
          </cell>
          <cell r="K95">
            <v>1.12E-2</v>
          </cell>
          <cell r="L95">
            <v>9.8399999999999998E-3</v>
          </cell>
        </row>
        <row r="96">
          <cell r="B96" t="str">
            <v>IPR Pluggable Modules 25G /SFP28</v>
          </cell>
          <cell r="C96">
            <v>0.8</v>
          </cell>
          <cell r="D96">
            <v>2.5000000000000001E-2</v>
          </cell>
          <cell r="E96">
            <v>1.1984E-2</v>
          </cell>
          <cell r="F96">
            <v>1.0699999999999999E-2</v>
          </cell>
          <cell r="G96" t="str">
            <v/>
          </cell>
          <cell r="H96" t="str">
            <v/>
          </cell>
          <cell r="I96" t="str">
            <v/>
          </cell>
          <cell r="J96" t="str">
            <v/>
          </cell>
          <cell r="K96">
            <v>1.12E-2</v>
          </cell>
          <cell r="L96">
            <v>9.8399999999999998E-3</v>
          </cell>
        </row>
        <row r="97">
          <cell r="B97" t="str">
            <v>IPR Pluggable Modules 40G /QSFP+</v>
          </cell>
          <cell r="C97">
            <v>0.8</v>
          </cell>
          <cell r="D97">
            <v>2.5000000000000001E-2</v>
          </cell>
          <cell r="E97">
            <v>1.1984E-2</v>
          </cell>
          <cell r="F97">
            <v>1.0699999999999999E-2</v>
          </cell>
          <cell r="G97" t="str">
            <v/>
          </cell>
          <cell r="H97" t="str">
            <v/>
          </cell>
          <cell r="I97" t="str">
            <v/>
          </cell>
          <cell r="J97" t="str">
            <v/>
          </cell>
          <cell r="K97">
            <v>1.12E-2</v>
          </cell>
          <cell r="L97">
            <v>9.8399999999999998E-3</v>
          </cell>
        </row>
        <row r="98">
          <cell r="B98" t="str">
            <v>IPR Pluggable Modules Accessories</v>
          </cell>
          <cell r="C98">
            <v>0.6</v>
          </cell>
          <cell r="D98">
            <v>2.5000000000000001E-2</v>
          </cell>
          <cell r="E98">
            <v>1.1984E-2</v>
          </cell>
          <cell r="F98">
            <v>1.0699999999999999E-2</v>
          </cell>
          <cell r="G98" t="str">
            <v/>
          </cell>
          <cell r="H98" t="str">
            <v/>
          </cell>
          <cell r="I98" t="str">
            <v/>
          </cell>
          <cell r="J98" t="str">
            <v/>
          </cell>
          <cell r="K98">
            <v>1.12E-2</v>
          </cell>
          <cell r="L98">
            <v>9.8399999999999998E-3</v>
          </cell>
        </row>
        <row r="99">
          <cell r="B99" t="str">
            <v>IPR Pluggable Modules Specialized</v>
          </cell>
          <cell r="C99" t="str">
            <v>Custom</v>
          </cell>
          <cell r="D99">
            <v>2.5000000000000001E-2</v>
          </cell>
          <cell r="E99">
            <v>1.1984E-2</v>
          </cell>
          <cell r="F99">
            <v>1.0699999999999999E-2</v>
          </cell>
          <cell r="G99" t="str">
            <v/>
          </cell>
          <cell r="H99" t="str">
            <v/>
          </cell>
          <cell r="I99" t="str">
            <v/>
          </cell>
          <cell r="J99" t="str">
            <v/>
          </cell>
          <cell r="K99">
            <v>1.12E-2</v>
          </cell>
          <cell r="L99">
            <v>9.8399999999999998E-3</v>
          </cell>
        </row>
        <row r="100">
          <cell r="B100" t="str">
            <v>IPR Pluggable Modules 400G /QSFP56-DD</v>
          </cell>
          <cell r="C100">
            <v>0.8</v>
          </cell>
          <cell r="D100">
            <v>2.5000000000000001E-2</v>
          </cell>
          <cell r="E100">
            <v>1.1984E-2</v>
          </cell>
          <cell r="F100">
            <v>1.0699999999999999E-2</v>
          </cell>
          <cell r="G100" t="str">
            <v/>
          </cell>
          <cell r="H100" t="str">
            <v/>
          </cell>
          <cell r="I100" t="str">
            <v/>
          </cell>
          <cell r="J100" t="str">
            <v/>
          </cell>
          <cell r="K100">
            <v>1.12E-2</v>
          </cell>
          <cell r="L100">
            <v>9.8399999999999998E-3</v>
          </cell>
        </row>
        <row r="101">
          <cell r="B101" t="str">
            <v>NFM-P IPR</v>
          </cell>
          <cell r="C101">
            <v>0.6</v>
          </cell>
          <cell r="D101">
            <v>0.2</v>
          </cell>
          <cell r="E101">
            <v>3.85E-2</v>
          </cell>
          <cell r="F101">
            <v>3.85E-2</v>
          </cell>
          <cell r="G101" t="str">
            <v/>
          </cell>
          <cell r="H101" t="str">
            <v/>
          </cell>
          <cell r="I101" t="str">
            <v/>
          </cell>
          <cell r="J101" t="str">
            <v/>
          </cell>
          <cell r="K101">
            <v>3.85E-2</v>
          </cell>
          <cell r="L101">
            <v>3.85E-2</v>
          </cell>
        </row>
        <row r="102">
          <cell r="B102" t="str">
            <v>NRC-F IPR</v>
          </cell>
          <cell r="C102">
            <v>0</v>
          </cell>
          <cell r="D102">
            <v>0.2</v>
          </cell>
          <cell r="E102">
            <v>0.05</v>
          </cell>
          <cell r="F102">
            <v>0.05</v>
          </cell>
          <cell r="G102" t="str">
            <v/>
          </cell>
          <cell r="H102" t="str">
            <v/>
          </cell>
          <cell r="I102" t="str">
            <v/>
          </cell>
          <cell r="J102" t="str">
            <v/>
          </cell>
          <cell r="K102">
            <v>0.05</v>
          </cell>
          <cell r="L102">
            <v>0.05</v>
          </cell>
        </row>
        <row r="103">
          <cell r="B103" t="str">
            <v>NRC-P IPR</v>
          </cell>
          <cell r="C103">
            <v>0</v>
          </cell>
          <cell r="D103">
            <v>0.2</v>
          </cell>
          <cell r="E103">
            <v>0.05</v>
          </cell>
          <cell r="F103">
            <v>0.05</v>
          </cell>
          <cell r="G103" t="str">
            <v/>
          </cell>
          <cell r="H103" t="str">
            <v/>
          </cell>
          <cell r="I103" t="str">
            <v/>
          </cell>
          <cell r="J103" t="str">
            <v/>
          </cell>
          <cell r="K103">
            <v>0.05</v>
          </cell>
          <cell r="L103">
            <v>0.05</v>
          </cell>
        </row>
        <row r="104">
          <cell r="B104" t="str">
            <v>NRC-X IPR</v>
          </cell>
          <cell r="C104">
            <v>0</v>
          </cell>
          <cell r="D104">
            <v>0.2</v>
          </cell>
          <cell r="E104">
            <v>0.05</v>
          </cell>
          <cell r="F104">
            <v>0.05</v>
          </cell>
          <cell r="G104" t="str">
            <v/>
          </cell>
          <cell r="H104" t="str">
            <v/>
          </cell>
          <cell r="I104" t="str">
            <v/>
          </cell>
          <cell r="J104" t="str">
            <v/>
          </cell>
          <cell r="K104">
            <v>0.05</v>
          </cell>
          <cell r="L104">
            <v>0.05</v>
          </cell>
        </row>
        <row r="105">
          <cell r="B105" t="str">
            <v>NSD IPR</v>
          </cell>
          <cell r="C105">
            <v>0</v>
          </cell>
          <cell r="D105">
            <v>0.2</v>
          </cell>
          <cell r="E105">
            <v>0.05</v>
          </cell>
          <cell r="F105">
            <v>0.05</v>
          </cell>
          <cell r="G105" t="str">
            <v/>
          </cell>
          <cell r="H105" t="str">
            <v/>
          </cell>
          <cell r="I105" t="str">
            <v/>
          </cell>
          <cell r="J105" t="str">
            <v/>
          </cell>
          <cell r="K105">
            <v>0.05</v>
          </cell>
          <cell r="L105">
            <v>0.05</v>
          </cell>
        </row>
        <row r="106">
          <cell r="B106" t="str">
            <v>NSD-NRC IPR</v>
          </cell>
          <cell r="C106">
            <v>0</v>
          </cell>
          <cell r="D106">
            <v>0.2</v>
          </cell>
          <cell r="E106">
            <v>0.05</v>
          </cell>
          <cell r="F106">
            <v>0.05</v>
          </cell>
          <cell r="G106" t="str">
            <v/>
          </cell>
          <cell r="H106" t="str">
            <v/>
          </cell>
          <cell r="I106" t="str">
            <v/>
          </cell>
          <cell r="J106" t="str">
            <v/>
          </cell>
          <cell r="K106">
            <v>0.05</v>
          </cell>
          <cell r="L106">
            <v>0.05</v>
          </cell>
        </row>
        <row r="107">
          <cell r="B107" t="str">
            <v>NSP-W IPR</v>
          </cell>
          <cell r="C107">
            <v>0</v>
          </cell>
          <cell r="D107">
            <v>0.2</v>
          </cell>
          <cell r="E107">
            <v>0.05</v>
          </cell>
          <cell r="F107">
            <v>0.05</v>
          </cell>
          <cell r="G107" t="str">
            <v/>
          </cell>
          <cell r="H107" t="str">
            <v/>
          </cell>
          <cell r="I107" t="str">
            <v/>
          </cell>
          <cell r="J107" t="str">
            <v/>
          </cell>
          <cell r="K107">
            <v>0.05</v>
          </cell>
          <cell r="L107">
            <v>0.05</v>
          </cell>
        </row>
        <row r="108">
          <cell r="B108" t="str">
            <v>SSP</v>
          </cell>
        </row>
        <row r="109">
          <cell r="B109" t="str">
            <v>VSR Appliance Equipment /Accessories</v>
          </cell>
          <cell r="C109">
            <v>0.1</v>
          </cell>
          <cell r="D109">
            <v>2.5000000000000001E-2</v>
          </cell>
          <cell r="E109">
            <v>2.1614000000000001E-2</v>
          </cell>
          <cell r="F109">
            <v>1.9293478527607363E-2</v>
          </cell>
          <cell r="G109" t="str">
            <v/>
          </cell>
          <cell r="H109" t="str">
            <v/>
          </cell>
          <cell r="I109" t="str">
            <v/>
          </cell>
          <cell r="J109" t="str">
            <v/>
          </cell>
          <cell r="K109">
            <v>2.0199999999999999E-2</v>
          </cell>
          <cell r="L109">
            <v>1.7745138888888887E-2</v>
          </cell>
        </row>
        <row r="110">
          <cell r="B110" t="str">
            <v>VSR Application Software</v>
          </cell>
          <cell r="C110">
            <v>0.35</v>
          </cell>
          <cell r="D110">
            <v>0.2</v>
          </cell>
          <cell r="E110">
            <v>2.1614000000000001E-2</v>
          </cell>
          <cell r="F110">
            <v>1.9293478527607363E-2</v>
          </cell>
          <cell r="G110" t="str">
            <v/>
          </cell>
          <cell r="H110" t="str">
            <v/>
          </cell>
          <cell r="I110" t="str">
            <v/>
          </cell>
          <cell r="J110" t="str">
            <v/>
          </cell>
          <cell r="K110">
            <v>2.0199999999999999E-2</v>
          </cell>
          <cell r="L110">
            <v>1.7745138888888887E-2</v>
          </cell>
        </row>
        <row r="111">
          <cell r="B111" t="str">
            <v>VSR-RR</v>
          </cell>
          <cell r="C111">
            <v>0.4</v>
          </cell>
          <cell r="D111">
            <v>0.2</v>
          </cell>
          <cell r="E111">
            <v>2.1614000000000001E-2</v>
          </cell>
          <cell r="F111">
            <v>1.9298214285714287E-2</v>
          </cell>
          <cell r="G111" t="str">
            <v/>
          </cell>
          <cell r="H111" t="str">
            <v/>
          </cell>
          <cell r="I111" t="str">
            <v/>
          </cell>
          <cell r="J111" t="str">
            <v/>
          </cell>
          <cell r="K111">
            <v>2.0199999999999999E-2</v>
          </cell>
          <cell r="L111">
            <v>1.7745138888888887E-2</v>
          </cell>
        </row>
        <row r="112">
          <cell r="B112" t="str">
            <v>End of table</v>
          </cell>
        </row>
      </sheetData>
      <sheetData sheetId="9">
        <row r="2">
          <cell r="L2">
            <v>2020</v>
          </cell>
          <cell r="M2">
            <v>2021</v>
          </cell>
          <cell r="N2">
            <v>2022</v>
          </cell>
          <cell r="O2">
            <v>2023</v>
          </cell>
          <cell r="P2" t="str">
            <v>Total</v>
          </cell>
        </row>
        <row r="4">
          <cell r="E4" t="str">
            <v>Partner</v>
          </cell>
          <cell r="F4">
            <v>0.11</v>
          </cell>
        </row>
        <row r="5">
          <cell r="E5" t="str">
            <v>Not Applicable</v>
          </cell>
          <cell r="F5">
            <v>0</v>
          </cell>
        </row>
        <row r="7">
          <cell r="F7">
            <v>0.10999999999999999</v>
          </cell>
        </row>
        <row r="21">
          <cell r="D21" t="str">
            <v>USD</v>
          </cell>
          <cell r="E21">
            <v>1</v>
          </cell>
          <cell r="I21" t="str">
            <v>Technical Support Gold &amp; Return for Exchange</v>
          </cell>
        </row>
        <row r="23">
          <cell r="H23" t="str">
            <v>Partner Price</v>
          </cell>
        </row>
        <row r="24">
          <cell r="H24">
            <v>0</v>
          </cell>
        </row>
        <row r="25">
          <cell r="H25">
            <v>0</v>
          </cell>
        </row>
        <row r="26">
          <cell r="H26">
            <v>0</v>
          </cell>
        </row>
        <row r="27">
          <cell r="H27">
            <v>0</v>
          </cell>
        </row>
        <row r="28">
          <cell r="H28">
            <v>0</v>
          </cell>
        </row>
        <row r="29">
          <cell r="H29">
            <v>0</v>
          </cell>
        </row>
        <row r="30">
          <cell r="H30">
            <v>0</v>
          </cell>
        </row>
        <row r="31">
          <cell r="H31">
            <v>0</v>
          </cell>
        </row>
        <row r="32">
          <cell r="H32">
            <v>0</v>
          </cell>
        </row>
        <row r="33">
          <cell r="H33">
            <v>0</v>
          </cell>
        </row>
        <row r="34">
          <cell r="H34">
            <v>0</v>
          </cell>
        </row>
        <row r="35">
          <cell r="H35">
            <v>0</v>
          </cell>
        </row>
        <row r="36">
          <cell r="H36">
            <v>0</v>
          </cell>
        </row>
        <row r="37">
          <cell r="H37">
            <v>0</v>
          </cell>
        </row>
        <row r="38">
          <cell r="H38">
            <v>0</v>
          </cell>
        </row>
        <row r="39">
          <cell r="H39">
            <v>0</v>
          </cell>
        </row>
        <row r="40">
          <cell r="H40">
            <v>0</v>
          </cell>
        </row>
        <row r="41">
          <cell r="H41">
            <v>0</v>
          </cell>
        </row>
        <row r="42">
          <cell r="H42">
            <v>0</v>
          </cell>
        </row>
        <row r="43">
          <cell r="H43">
            <v>0</v>
          </cell>
        </row>
        <row r="44">
          <cell r="H44">
            <v>0</v>
          </cell>
        </row>
        <row r="45">
          <cell r="H45">
            <v>0</v>
          </cell>
        </row>
        <row r="46">
          <cell r="H46">
            <v>0</v>
          </cell>
        </row>
        <row r="47">
          <cell r="H47">
            <v>0</v>
          </cell>
        </row>
        <row r="48">
          <cell r="H48">
            <v>0</v>
          </cell>
        </row>
        <row r="49">
          <cell r="H49">
            <v>0</v>
          </cell>
        </row>
        <row r="50">
          <cell r="H50">
            <v>0</v>
          </cell>
        </row>
        <row r="51">
          <cell r="H51">
            <v>0</v>
          </cell>
        </row>
        <row r="52">
          <cell r="H52">
            <v>0</v>
          </cell>
        </row>
        <row r="53">
          <cell r="H53">
            <v>0</v>
          </cell>
        </row>
        <row r="54">
          <cell r="H54">
            <v>0</v>
          </cell>
        </row>
        <row r="55">
          <cell r="H55">
            <v>0</v>
          </cell>
        </row>
        <row r="56">
          <cell r="H56">
            <v>0</v>
          </cell>
        </row>
        <row r="57">
          <cell r="H57">
            <v>0</v>
          </cell>
        </row>
        <row r="58">
          <cell r="H58">
            <v>0</v>
          </cell>
        </row>
        <row r="59">
          <cell r="H59">
            <v>0</v>
          </cell>
        </row>
        <row r="60">
          <cell r="H60">
            <v>0</v>
          </cell>
        </row>
        <row r="61">
          <cell r="H61">
            <v>0</v>
          </cell>
        </row>
        <row r="62">
          <cell r="H62">
            <v>0</v>
          </cell>
        </row>
        <row r="63">
          <cell r="H63">
            <v>0</v>
          </cell>
        </row>
        <row r="64">
          <cell r="H64">
            <v>0</v>
          </cell>
        </row>
        <row r="65">
          <cell r="H65">
            <v>0</v>
          </cell>
        </row>
        <row r="66">
          <cell r="H66">
            <v>0</v>
          </cell>
        </row>
        <row r="67">
          <cell r="H67">
            <v>0</v>
          </cell>
        </row>
        <row r="68">
          <cell r="H68">
            <v>0</v>
          </cell>
        </row>
        <row r="69">
          <cell r="H69">
            <v>0</v>
          </cell>
        </row>
        <row r="70">
          <cell r="H70">
            <v>0</v>
          </cell>
        </row>
        <row r="71">
          <cell r="H71">
            <v>0</v>
          </cell>
        </row>
        <row r="72">
          <cell r="H72">
            <v>0</v>
          </cell>
        </row>
        <row r="73">
          <cell r="H73">
            <v>0</v>
          </cell>
        </row>
        <row r="74">
          <cell r="H74">
            <v>0</v>
          </cell>
        </row>
        <row r="75">
          <cell r="H75">
            <v>0</v>
          </cell>
        </row>
        <row r="76">
          <cell r="H76">
            <v>0</v>
          </cell>
        </row>
        <row r="77">
          <cell r="H77">
            <v>0</v>
          </cell>
        </row>
        <row r="78">
          <cell r="H78">
            <v>0</v>
          </cell>
        </row>
        <row r="79">
          <cell r="H79">
            <v>0</v>
          </cell>
        </row>
        <row r="80">
          <cell r="H80">
            <v>0</v>
          </cell>
        </row>
        <row r="81">
          <cell r="H81">
            <v>0</v>
          </cell>
        </row>
        <row r="82">
          <cell r="H82">
            <v>0</v>
          </cell>
        </row>
        <row r="83">
          <cell r="H83">
            <v>0</v>
          </cell>
        </row>
        <row r="84">
          <cell r="H84">
            <v>0</v>
          </cell>
        </row>
        <row r="85">
          <cell r="H85">
            <v>0</v>
          </cell>
        </row>
        <row r="86">
          <cell r="H86">
            <v>0</v>
          </cell>
        </row>
        <row r="87">
          <cell r="H87">
            <v>0</v>
          </cell>
        </row>
        <row r="88">
          <cell r="H88">
            <v>0</v>
          </cell>
        </row>
        <row r="89">
          <cell r="H89">
            <v>0</v>
          </cell>
        </row>
        <row r="90">
          <cell r="H90">
            <v>0</v>
          </cell>
        </row>
        <row r="91">
          <cell r="H91">
            <v>0</v>
          </cell>
        </row>
        <row r="92">
          <cell r="H92">
            <v>0</v>
          </cell>
        </row>
        <row r="93">
          <cell r="H93">
            <v>0</v>
          </cell>
        </row>
        <row r="94">
          <cell r="H94">
            <v>0</v>
          </cell>
        </row>
        <row r="95">
          <cell r="H95">
            <v>0</v>
          </cell>
        </row>
        <row r="96">
          <cell r="H96">
            <v>0</v>
          </cell>
        </row>
        <row r="97">
          <cell r="H97">
            <v>0</v>
          </cell>
        </row>
        <row r="98">
          <cell r="H98">
            <v>0</v>
          </cell>
        </row>
        <row r="99">
          <cell r="H99">
            <v>0</v>
          </cell>
        </row>
        <row r="100">
          <cell r="H100">
            <v>0</v>
          </cell>
        </row>
        <row r="101">
          <cell r="H101">
            <v>0</v>
          </cell>
        </row>
        <row r="102">
          <cell r="H102">
            <v>0</v>
          </cell>
        </row>
        <row r="103">
          <cell r="H103">
            <v>0</v>
          </cell>
        </row>
        <row r="104">
          <cell r="H104">
            <v>0</v>
          </cell>
        </row>
        <row r="105">
          <cell r="H105">
            <v>0</v>
          </cell>
        </row>
        <row r="106">
          <cell r="H106">
            <v>0</v>
          </cell>
        </row>
        <row r="107">
          <cell r="H107">
            <v>0</v>
          </cell>
        </row>
        <row r="108">
          <cell r="H108">
            <v>0</v>
          </cell>
        </row>
        <row r="109">
          <cell r="H109">
            <v>0</v>
          </cell>
        </row>
        <row r="110">
          <cell r="H110">
            <v>0</v>
          </cell>
        </row>
        <row r="111">
          <cell r="H111">
            <v>0</v>
          </cell>
        </row>
        <row r="112">
          <cell r="H112">
            <v>0</v>
          </cell>
        </row>
        <row r="113">
          <cell r="H113">
            <v>0</v>
          </cell>
        </row>
        <row r="114">
          <cell r="H114">
            <v>0</v>
          </cell>
        </row>
        <row r="115">
          <cell r="H115">
            <v>0</v>
          </cell>
        </row>
        <row r="116">
          <cell r="H116">
            <v>0</v>
          </cell>
        </row>
        <row r="117">
          <cell r="H117">
            <v>0</v>
          </cell>
        </row>
        <row r="118">
          <cell r="H118">
            <v>0</v>
          </cell>
        </row>
        <row r="119">
          <cell r="H119">
            <v>0</v>
          </cell>
        </row>
        <row r="120">
          <cell r="H120">
            <v>0</v>
          </cell>
        </row>
        <row r="121">
          <cell r="H121">
            <v>0</v>
          </cell>
        </row>
        <row r="122">
          <cell r="H122">
            <v>0</v>
          </cell>
        </row>
        <row r="123">
          <cell r="H123">
            <v>0</v>
          </cell>
        </row>
        <row r="124">
          <cell r="H124">
            <v>0</v>
          </cell>
        </row>
        <row r="125">
          <cell r="H125">
            <v>0</v>
          </cell>
        </row>
        <row r="126">
          <cell r="H126">
            <v>0</v>
          </cell>
        </row>
        <row r="127">
          <cell r="H127">
            <v>0</v>
          </cell>
        </row>
        <row r="128">
          <cell r="H128">
            <v>0</v>
          </cell>
        </row>
        <row r="129">
          <cell r="H129">
            <v>0</v>
          </cell>
        </row>
        <row r="130">
          <cell r="H130">
            <v>0</v>
          </cell>
        </row>
        <row r="131">
          <cell r="H131">
            <v>0</v>
          </cell>
        </row>
        <row r="132">
          <cell r="H132">
            <v>0</v>
          </cell>
        </row>
        <row r="133">
          <cell r="H133">
            <v>0</v>
          </cell>
        </row>
        <row r="134">
          <cell r="H134">
            <v>0</v>
          </cell>
        </row>
        <row r="135">
          <cell r="H135">
            <v>0</v>
          </cell>
        </row>
        <row r="136">
          <cell r="H136">
            <v>0</v>
          </cell>
        </row>
        <row r="137">
          <cell r="H137">
            <v>0</v>
          </cell>
        </row>
        <row r="138">
          <cell r="H138">
            <v>0</v>
          </cell>
        </row>
        <row r="139">
          <cell r="H139">
            <v>0</v>
          </cell>
        </row>
        <row r="140">
          <cell r="H140">
            <v>0</v>
          </cell>
        </row>
        <row r="141">
          <cell r="H141">
            <v>0</v>
          </cell>
        </row>
        <row r="142">
          <cell r="H142">
            <v>0</v>
          </cell>
        </row>
        <row r="143">
          <cell r="H143">
            <v>0</v>
          </cell>
        </row>
        <row r="144">
          <cell r="H144">
            <v>0</v>
          </cell>
        </row>
        <row r="145">
          <cell r="H145">
            <v>0</v>
          </cell>
        </row>
        <row r="146">
          <cell r="H146">
            <v>0</v>
          </cell>
        </row>
        <row r="147">
          <cell r="H147">
            <v>0</v>
          </cell>
        </row>
        <row r="148">
          <cell r="H148">
            <v>0</v>
          </cell>
        </row>
        <row r="149">
          <cell r="H149">
            <v>0</v>
          </cell>
        </row>
        <row r="150">
          <cell r="H150">
            <v>0</v>
          </cell>
        </row>
        <row r="151">
          <cell r="H151">
            <v>0</v>
          </cell>
        </row>
        <row r="152">
          <cell r="H152">
            <v>0</v>
          </cell>
        </row>
        <row r="153">
          <cell r="H153">
            <v>0</v>
          </cell>
        </row>
        <row r="154">
          <cell r="H154">
            <v>0</v>
          </cell>
        </row>
        <row r="155">
          <cell r="H155">
            <v>0</v>
          </cell>
        </row>
        <row r="156">
          <cell r="H156">
            <v>0</v>
          </cell>
        </row>
        <row r="157">
          <cell r="H157">
            <v>0</v>
          </cell>
        </row>
        <row r="158">
          <cell r="H158">
            <v>0</v>
          </cell>
        </row>
        <row r="159">
          <cell r="H159">
            <v>0</v>
          </cell>
        </row>
        <row r="160">
          <cell r="H160">
            <v>0</v>
          </cell>
        </row>
        <row r="161">
          <cell r="H161">
            <v>0</v>
          </cell>
        </row>
        <row r="162">
          <cell r="H162">
            <v>0</v>
          </cell>
        </row>
        <row r="163">
          <cell r="H163">
            <v>0</v>
          </cell>
        </row>
        <row r="164">
          <cell r="H164">
            <v>0</v>
          </cell>
        </row>
        <row r="165">
          <cell r="H165">
            <v>0</v>
          </cell>
        </row>
        <row r="166">
          <cell r="H166">
            <v>0</v>
          </cell>
        </row>
        <row r="167">
          <cell r="H167">
            <v>0</v>
          </cell>
        </row>
        <row r="168">
          <cell r="H168">
            <v>0</v>
          </cell>
        </row>
        <row r="169">
          <cell r="H169">
            <v>0</v>
          </cell>
        </row>
        <row r="170">
          <cell r="H170">
            <v>0</v>
          </cell>
        </row>
        <row r="171">
          <cell r="H171">
            <v>0</v>
          </cell>
        </row>
        <row r="172">
          <cell r="H172">
            <v>0</v>
          </cell>
        </row>
        <row r="173">
          <cell r="H173">
            <v>0</v>
          </cell>
        </row>
        <row r="174">
          <cell r="H174">
            <v>0</v>
          </cell>
        </row>
        <row r="175">
          <cell r="H175">
            <v>0</v>
          </cell>
        </row>
        <row r="176">
          <cell r="H176">
            <v>0</v>
          </cell>
        </row>
        <row r="177">
          <cell r="H177">
            <v>0</v>
          </cell>
        </row>
        <row r="178">
          <cell r="H178">
            <v>0</v>
          </cell>
        </row>
        <row r="179">
          <cell r="H179">
            <v>0</v>
          </cell>
        </row>
        <row r="180">
          <cell r="H180">
            <v>0</v>
          </cell>
        </row>
        <row r="181">
          <cell r="H181">
            <v>0</v>
          </cell>
        </row>
        <row r="182">
          <cell r="H182">
            <v>0</v>
          </cell>
        </row>
        <row r="183">
          <cell r="H183">
            <v>0</v>
          </cell>
        </row>
        <row r="184">
          <cell r="H184">
            <v>0</v>
          </cell>
        </row>
        <row r="185">
          <cell r="H185">
            <v>0</v>
          </cell>
        </row>
        <row r="186">
          <cell r="H186">
            <v>0</v>
          </cell>
        </row>
        <row r="187">
          <cell r="H187">
            <v>0</v>
          </cell>
        </row>
        <row r="188">
          <cell r="H188">
            <v>0</v>
          </cell>
        </row>
        <row r="189">
          <cell r="H189">
            <v>0</v>
          </cell>
        </row>
        <row r="190">
          <cell r="H190">
            <v>0</v>
          </cell>
        </row>
        <row r="191">
          <cell r="H191">
            <v>0</v>
          </cell>
        </row>
        <row r="192">
          <cell r="H192">
            <v>0</v>
          </cell>
        </row>
        <row r="193">
          <cell r="H193">
            <v>0</v>
          </cell>
        </row>
        <row r="194">
          <cell r="H194">
            <v>0</v>
          </cell>
        </row>
        <row r="195">
          <cell r="H195">
            <v>0</v>
          </cell>
        </row>
        <row r="196">
          <cell r="H196">
            <v>0</v>
          </cell>
        </row>
        <row r="197">
          <cell r="H197">
            <v>0</v>
          </cell>
        </row>
        <row r="198">
          <cell r="H198">
            <v>0</v>
          </cell>
        </row>
        <row r="199">
          <cell r="H199">
            <v>0</v>
          </cell>
        </row>
        <row r="200">
          <cell r="H200">
            <v>0</v>
          </cell>
        </row>
        <row r="201">
          <cell r="H201">
            <v>0</v>
          </cell>
        </row>
        <row r="202">
          <cell r="H202">
            <v>0</v>
          </cell>
        </row>
        <row r="203">
          <cell r="H203">
            <v>0</v>
          </cell>
        </row>
        <row r="204">
          <cell r="H204">
            <v>0</v>
          </cell>
        </row>
        <row r="205">
          <cell r="H205">
            <v>0</v>
          </cell>
        </row>
        <row r="206">
          <cell r="H206">
            <v>0</v>
          </cell>
        </row>
        <row r="207">
          <cell r="H207">
            <v>0</v>
          </cell>
        </row>
        <row r="208">
          <cell r="H208">
            <v>0</v>
          </cell>
        </row>
        <row r="209">
          <cell r="H209">
            <v>0</v>
          </cell>
        </row>
        <row r="210">
          <cell r="H210">
            <v>0</v>
          </cell>
        </row>
        <row r="211">
          <cell r="H211">
            <v>0</v>
          </cell>
        </row>
        <row r="212">
          <cell r="H212">
            <v>0</v>
          </cell>
        </row>
        <row r="213">
          <cell r="H213">
            <v>0</v>
          </cell>
        </row>
        <row r="214">
          <cell r="H214">
            <v>0</v>
          </cell>
        </row>
        <row r="215">
          <cell r="H215">
            <v>0</v>
          </cell>
        </row>
        <row r="216">
          <cell r="H216">
            <v>0</v>
          </cell>
        </row>
        <row r="217">
          <cell r="H217">
            <v>0</v>
          </cell>
        </row>
        <row r="218">
          <cell r="H218">
            <v>0</v>
          </cell>
        </row>
        <row r="219">
          <cell r="H219">
            <v>0</v>
          </cell>
        </row>
        <row r="220">
          <cell r="H220">
            <v>0</v>
          </cell>
        </row>
        <row r="221">
          <cell r="H221">
            <v>0</v>
          </cell>
        </row>
        <row r="222">
          <cell r="H222">
            <v>0</v>
          </cell>
        </row>
        <row r="223">
          <cell r="H223">
            <v>0</v>
          </cell>
        </row>
      </sheetData>
      <sheetData sheetId="10"/>
      <sheetData sheetId="11"/>
      <sheetData sheetId="12"/>
      <sheetData sheetId="13"/>
      <sheetData sheetId="14">
        <row r="4">
          <cell r="A4" t="str">
            <v>2020 P9</v>
          </cell>
        </row>
        <row r="5">
          <cell r="A5">
            <v>44092</v>
          </cell>
        </row>
        <row r="6">
          <cell r="A6" t="str">
            <v>Currency</v>
          </cell>
          <cell r="B6" t="str">
            <v>Standard</v>
          </cell>
          <cell r="C6" t="str">
            <v>LE Rate</v>
          </cell>
          <cell r="D6">
            <v>3</v>
          </cell>
          <cell r="E6">
            <v>6</v>
          </cell>
          <cell r="F6">
            <v>9</v>
          </cell>
          <cell r="G6">
            <v>12</v>
          </cell>
          <cell r="H6">
            <v>15</v>
          </cell>
          <cell r="I6">
            <v>18</v>
          </cell>
          <cell r="J6">
            <v>24</v>
          </cell>
          <cell r="K6">
            <v>36</v>
          </cell>
        </row>
        <row r="7">
          <cell r="A7" t="str">
            <v>USD</v>
          </cell>
          <cell r="B7" t="b">
            <v>1</v>
          </cell>
          <cell r="C7">
            <v>1</v>
          </cell>
          <cell r="D7">
            <v>1</v>
          </cell>
          <cell r="E7">
            <v>1</v>
          </cell>
          <cell r="F7">
            <v>1</v>
          </cell>
          <cell r="G7">
            <v>1</v>
          </cell>
          <cell r="H7">
            <v>1</v>
          </cell>
          <cell r="I7">
            <v>1</v>
          </cell>
          <cell r="J7">
            <v>1</v>
          </cell>
          <cell r="K7">
            <v>1</v>
          </cell>
        </row>
        <row r="8">
          <cell r="A8" t="str">
            <v>EUR</v>
          </cell>
          <cell r="B8" t="b">
            <v>1</v>
          </cell>
          <cell r="C8">
            <v>0.84399999999999997</v>
          </cell>
          <cell r="D8">
            <v>0.84899999999999998</v>
          </cell>
          <cell r="E8">
            <v>0.84899999999999998</v>
          </cell>
          <cell r="F8">
            <v>0.84899999999999998</v>
          </cell>
          <cell r="G8">
            <v>0.84899999999999998</v>
          </cell>
          <cell r="H8">
            <v>0.84899999999999998</v>
          </cell>
          <cell r="I8">
            <v>0.84899999999999998</v>
          </cell>
          <cell r="J8">
            <v>0.84899999999999998</v>
          </cell>
          <cell r="K8">
            <v>0.84899999999999998</v>
          </cell>
        </row>
        <row r="9">
          <cell r="A9" t="str">
            <v>AED</v>
          </cell>
          <cell r="B9" t="b">
            <v>1</v>
          </cell>
          <cell r="C9">
            <v>3.67</v>
          </cell>
          <cell r="D9">
            <v>3.7</v>
          </cell>
          <cell r="E9">
            <v>3.7</v>
          </cell>
          <cell r="F9">
            <v>3.71</v>
          </cell>
          <cell r="G9">
            <v>3.71</v>
          </cell>
          <cell r="H9">
            <v>3.72</v>
          </cell>
          <cell r="I9">
            <v>3.73</v>
          </cell>
          <cell r="J9">
            <v>3.73</v>
          </cell>
          <cell r="K9">
            <v>3.76</v>
          </cell>
        </row>
        <row r="10">
          <cell r="A10" t="str">
            <v>AUD</v>
          </cell>
          <cell r="B10" t="b">
            <v>1</v>
          </cell>
          <cell r="C10">
            <v>1.367</v>
          </cell>
          <cell r="D10">
            <v>1.3859999999999999</v>
          </cell>
          <cell r="E10">
            <v>1.387</v>
          </cell>
          <cell r="F10">
            <v>1.3879999999999999</v>
          </cell>
          <cell r="G10">
            <v>1.3879999999999999</v>
          </cell>
          <cell r="H10">
            <v>1.389</v>
          </cell>
          <cell r="I10">
            <v>1.391</v>
          </cell>
          <cell r="J10">
            <v>1.393</v>
          </cell>
          <cell r="K10">
            <v>1.399</v>
          </cell>
        </row>
        <row r="11">
          <cell r="A11" t="str">
            <v>CAD</v>
          </cell>
          <cell r="B11" t="b">
            <v>1</v>
          </cell>
          <cell r="C11">
            <v>1.32</v>
          </cell>
          <cell r="D11">
            <v>1.33</v>
          </cell>
          <cell r="E11">
            <v>1.33</v>
          </cell>
          <cell r="F11">
            <v>1.33</v>
          </cell>
          <cell r="G11">
            <v>1.33</v>
          </cell>
          <cell r="H11">
            <v>1.33</v>
          </cell>
          <cell r="I11">
            <v>1.33</v>
          </cell>
          <cell r="J11">
            <v>1.34</v>
          </cell>
          <cell r="K11">
            <v>1.35</v>
          </cell>
        </row>
        <row r="12">
          <cell r="A12" t="str">
            <v>CHF</v>
          </cell>
          <cell r="B12" t="b">
            <v>1</v>
          </cell>
          <cell r="C12">
            <v>0.90900000000000003</v>
          </cell>
          <cell r="D12">
            <v>0.91</v>
          </cell>
          <cell r="E12">
            <v>0.91</v>
          </cell>
          <cell r="F12">
            <v>0.91</v>
          </cell>
          <cell r="G12">
            <v>0.91</v>
          </cell>
          <cell r="H12">
            <v>0.91</v>
          </cell>
          <cell r="I12">
            <v>0.91</v>
          </cell>
          <cell r="J12">
            <v>0.91</v>
          </cell>
          <cell r="K12">
            <v>0.91</v>
          </cell>
        </row>
        <row r="13">
          <cell r="A13" t="str">
            <v>CNY</v>
          </cell>
          <cell r="B13" t="b">
            <v>1</v>
          </cell>
          <cell r="C13">
            <v>6.76</v>
          </cell>
          <cell r="D13">
            <v>6.87</v>
          </cell>
          <cell r="E13">
            <v>6.91</v>
          </cell>
          <cell r="F13">
            <v>6.95</v>
          </cell>
          <cell r="G13">
            <v>7</v>
          </cell>
          <cell r="H13">
            <v>7.06</v>
          </cell>
          <cell r="I13">
            <v>7.11</v>
          </cell>
          <cell r="J13">
            <v>7.17</v>
          </cell>
          <cell r="K13">
            <v>7.35</v>
          </cell>
        </row>
        <row r="14">
          <cell r="A14" t="str">
            <v>DKK</v>
          </cell>
          <cell r="B14" t="b">
            <v>1</v>
          </cell>
          <cell r="C14">
            <v>6.28</v>
          </cell>
          <cell r="D14">
            <v>6.31</v>
          </cell>
          <cell r="E14">
            <v>6.31</v>
          </cell>
          <cell r="F14">
            <v>6.31</v>
          </cell>
          <cell r="G14">
            <v>6.31</v>
          </cell>
          <cell r="H14">
            <v>6.31</v>
          </cell>
          <cell r="I14">
            <v>6.31</v>
          </cell>
          <cell r="J14">
            <v>6.31</v>
          </cell>
          <cell r="K14">
            <v>6.31</v>
          </cell>
        </row>
        <row r="15">
          <cell r="A15" t="str">
            <v>GBP</v>
          </cell>
          <cell r="B15" t="b">
            <v>1</v>
          </cell>
          <cell r="C15">
            <v>0.77</v>
          </cell>
          <cell r="D15">
            <v>0.78300000000000003</v>
          </cell>
          <cell r="E15">
            <v>0.78400000000000003</v>
          </cell>
          <cell r="F15">
            <v>0.78400000000000003</v>
          </cell>
          <cell r="G15">
            <v>0.78500000000000003</v>
          </cell>
          <cell r="H15">
            <v>0.78500000000000003</v>
          </cell>
          <cell r="I15">
            <v>0.78500000000000003</v>
          </cell>
          <cell r="J15">
            <v>0.78600000000000003</v>
          </cell>
          <cell r="K15">
            <v>0.78800000000000003</v>
          </cell>
        </row>
        <row r="16">
          <cell r="A16" t="str">
            <v>HKD</v>
          </cell>
          <cell r="B16" t="b">
            <v>1</v>
          </cell>
          <cell r="C16">
            <v>7.75</v>
          </cell>
          <cell r="D16">
            <v>7.81</v>
          </cell>
          <cell r="E16">
            <v>7.82</v>
          </cell>
          <cell r="F16">
            <v>7.83</v>
          </cell>
          <cell r="G16">
            <v>7.84</v>
          </cell>
          <cell r="H16">
            <v>7.85</v>
          </cell>
          <cell r="I16">
            <v>7.87</v>
          </cell>
          <cell r="J16">
            <v>7.88</v>
          </cell>
          <cell r="K16">
            <v>7.92</v>
          </cell>
        </row>
        <row r="17">
          <cell r="A17" t="str">
            <v>JPY</v>
          </cell>
          <cell r="B17" t="b">
            <v>1</v>
          </cell>
          <cell r="C17">
            <v>105</v>
          </cell>
          <cell r="D17">
            <v>106</v>
          </cell>
          <cell r="E17">
            <v>106</v>
          </cell>
          <cell r="F17">
            <v>106</v>
          </cell>
          <cell r="G17">
            <v>106</v>
          </cell>
          <cell r="H17">
            <v>106</v>
          </cell>
          <cell r="I17">
            <v>106</v>
          </cell>
          <cell r="J17">
            <v>106</v>
          </cell>
          <cell r="K17">
            <v>106</v>
          </cell>
        </row>
        <row r="18">
          <cell r="A18" t="str">
            <v>KRW</v>
          </cell>
          <cell r="B18" t="b">
            <v>1</v>
          </cell>
          <cell r="C18">
            <v>1160</v>
          </cell>
          <cell r="D18">
            <v>1180</v>
          </cell>
          <cell r="E18">
            <v>1180</v>
          </cell>
          <cell r="F18">
            <v>1180</v>
          </cell>
          <cell r="G18">
            <v>1180</v>
          </cell>
          <cell r="H18">
            <v>1180</v>
          </cell>
          <cell r="I18">
            <v>1180</v>
          </cell>
          <cell r="J18">
            <v>1180</v>
          </cell>
          <cell r="K18">
            <v>1180</v>
          </cell>
        </row>
        <row r="19">
          <cell r="A19" t="str">
            <v>NOK</v>
          </cell>
          <cell r="B19" t="b">
            <v>1</v>
          </cell>
          <cell r="C19">
            <v>9.0500000000000007</v>
          </cell>
          <cell r="D19">
            <v>9.2100000000000009</v>
          </cell>
          <cell r="E19">
            <v>9.2100000000000009</v>
          </cell>
          <cell r="F19">
            <v>9.2200000000000006</v>
          </cell>
          <cell r="G19">
            <v>9.23</v>
          </cell>
          <cell r="H19">
            <v>9.23</v>
          </cell>
          <cell r="I19">
            <v>9.25</v>
          </cell>
          <cell r="J19">
            <v>9.27</v>
          </cell>
          <cell r="K19">
            <v>9.32</v>
          </cell>
        </row>
        <row r="20">
          <cell r="A20" t="str">
            <v>NZD</v>
          </cell>
          <cell r="B20" t="b">
            <v>1</v>
          </cell>
          <cell r="C20">
            <v>1.47</v>
          </cell>
          <cell r="D20">
            <v>1.5</v>
          </cell>
          <cell r="E20">
            <v>1.5</v>
          </cell>
          <cell r="F20">
            <v>1.5</v>
          </cell>
          <cell r="G20">
            <v>1.5</v>
          </cell>
          <cell r="H20">
            <v>1.5</v>
          </cell>
          <cell r="I20">
            <v>1.5</v>
          </cell>
          <cell r="J20">
            <v>1.5</v>
          </cell>
          <cell r="K20">
            <v>1.51</v>
          </cell>
        </row>
        <row r="21">
          <cell r="A21" t="str">
            <v>PLN</v>
          </cell>
          <cell r="B21" t="b">
            <v>1</v>
          </cell>
          <cell r="C21">
            <v>3.76</v>
          </cell>
          <cell r="D21">
            <v>3.81</v>
          </cell>
          <cell r="E21">
            <v>3.81</v>
          </cell>
          <cell r="F21">
            <v>3.81</v>
          </cell>
          <cell r="G21">
            <v>3.82</v>
          </cell>
          <cell r="H21">
            <v>3.82</v>
          </cell>
          <cell r="I21">
            <v>3.82</v>
          </cell>
          <cell r="J21">
            <v>3.83</v>
          </cell>
          <cell r="K21">
            <v>3.86</v>
          </cell>
        </row>
        <row r="22">
          <cell r="A22" t="str">
            <v>SAR</v>
          </cell>
          <cell r="B22" t="b">
            <v>1</v>
          </cell>
          <cell r="C22">
            <v>3.75</v>
          </cell>
          <cell r="D22">
            <v>3.77</v>
          </cell>
          <cell r="E22">
            <v>3.78</v>
          </cell>
          <cell r="F22">
            <v>3.78</v>
          </cell>
          <cell r="G22">
            <v>3.79</v>
          </cell>
          <cell r="H22">
            <v>3.8</v>
          </cell>
          <cell r="I22">
            <v>3.8</v>
          </cell>
          <cell r="J22">
            <v>3.81</v>
          </cell>
          <cell r="K22">
            <v>3.84</v>
          </cell>
        </row>
        <row r="23">
          <cell r="A23" t="str">
            <v>SEK</v>
          </cell>
          <cell r="B23" t="b">
            <v>1</v>
          </cell>
          <cell r="C23">
            <v>8.7799999999999994</v>
          </cell>
          <cell r="D23">
            <v>8.89</v>
          </cell>
          <cell r="E23">
            <v>8.89</v>
          </cell>
          <cell r="F23">
            <v>8.9</v>
          </cell>
          <cell r="G23">
            <v>8.9</v>
          </cell>
          <cell r="H23">
            <v>8.9</v>
          </cell>
          <cell r="I23">
            <v>8.91</v>
          </cell>
          <cell r="J23">
            <v>8.92</v>
          </cell>
          <cell r="K23">
            <v>8.93</v>
          </cell>
        </row>
        <row r="24">
          <cell r="A24" t="str">
            <v>SGD</v>
          </cell>
          <cell r="B24" t="b">
            <v>1</v>
          </cell>
          <cell r="C24">
            <v>1.36</v>
          </cell>
          <cell r="D24">
            <v>1.37</v>
          </cell>
          <cell r="E24">
            <v>1.37</v>
          </cell>
          <cell r="F24">
            <v>1.37</v>
          </cell>
          <cell r="G24">
            <v>1.37</v>
          </cell>
          <cell r="H24">
            <v>1.37</v>
          </cell>
          <cell r="I24">
            <v>1.37</v>
          </cell>
          <cell r="J24">
            <v>1.37</v>
          </cell>
          <cell r="K24">
            <v>1.38</v>
          </cell>
        </row>
        <row r="25">
          <cell r="A25" t="str">
            <v>TWD</v>
          </cell>
          <cell r="B25" t="b">
            <v>1</v>
          </cell>
          <cell r="C25">
            <v>29.1</v>
          </cell>
          <cell r="D25">
            <v>29.3</v>
          </cell>
          <cell r="E25">
            <v>29.3</v>
          </cell>
          <cell r="F25">
            <v>29.3</v>
          </cell>
          <cell r="G25">
            <v>29.3</v>
          </cell>
          <cell r="H25">
            <v>29.3</v>
          </cell>
          <cell r="I25">
            <v>29.3</v>
          </cell>
          <cell r="J25">
            <v>29.3</v>
          </cell>
          <cell r="K25">
            <v>29.3</v>
          </cell>
        </row>
        <row r="26">
          <cell r="A26" t="str">
            <v>End of Table</v>
          </cell>
        </row>
      </sheetData>
      <sheetData sheetId="15">
        <row r="2">
          <cell r="A2" t="str">
            <v>IP Routing</v>
          </cell>
          <cell r="D2" t="str">
            <v>7750 SR</v>
          </cell>
          <cell r="R2" t="str">
            <v>CR</v>
          </cell>
          <cell r="T2" t="str">
            <v>PPGE</v>
          </cell>
          <cell r="V2" t="str">
            <v>FE</v>
          </cell>
          <cell r="X2" t="str">
            <v>IOM5-e 400G;IOM5-e 800G;IOM5-e 1,2T;SR-1</v>
          </cell>
          <cell r="Y2" t="str">
            <v>MDA-e-XP</v>
          </cell>
          <cell r="AA2">
            <v>0.25</v>
          </cell>
          <cell r="AC2" t="str">
            <v>HW</v>
          </cell>
          <cell r="AM2" t="str">
            <v>--- IP Routing ---</v>
          </cell>
          <cell r="BH2" t="str">
            <v>-- Europe &amp; MEA --</v>
          </cell>
          <cell r="DJ2" t="str">
            <v>7x50</v>
          </cell>
          <cell r="DK2" t="str">
            <v>TS Points for 7x50</v>
          </cell>
        </row>
        <row r="3">
          <cell r="A3" t="str">
            <v>Packet Core</v>
          </cell>
          <cell r="D3" t="str">
            <v>7750 SR FP4</v>
          </cell>
          <cell r="R3" t="str">
            <v>ER</v>
          </cell>
          <cell r="T3" t="str">
            <v>PPUNIT</v>
          </cell>
          <cell r="V3" t="str">
            <v>GE</v>
          </cell>
          <cell r="X3" t="str">
            <v>IOM4-e;IOM-e</v>
          </cell>
          <cell r="Y3" t="str">
            <v>MDA-e</v>
          </cell>
          <cell r="AA3">
            <v>0.5</v>
          </cell>
          <cell r="AC3" t="str">
            <v>SW</v>
          </cell>
          <cell r="AM3" t="str">
            <v>IPR 7210 SAS</v>
          </cell>
          <cell r="BH3" t="str">
            <v>AFGHANISTAN</v>
          </cell>
          <cell r="DJ3" t="str">
            <v>7750 SR MG</v>
          </cell>
          <cell r="DK3" t="str">
            <v>TS Points for 7750MG</v>
          </cell>
        </row>
        <row r="4">
          <cell r="A4" t="str">
            <v>Nuage</v>
          </cell>
          <cell r="D4" t="str">
            <v>7750 SR-MG</v>
          </cell>
          <cell r="R4" t="str">
            <v>HE</v>
          </cell>
          <cell r="T4" t="str">
            <v>NSPLP</v>
          </cell>
          <cell r="V4" t="str">
            <v>10GE</v>
          </cell>
          <cell r="X4" t="str">
            <v>IOM3-XP</v>
          </cell>
          <cell r="Y4" t="str">
            <v>MDA-XP</v>
          </cell>
          <cell r="AA4">
            <v>1</v>
          </cell>
          <cell r="AC4" t="str">
            <v>Services</v>
          </cell>
          <cell r="AM4" t="str">
            <v>IPR 7220 IXR</v>
          </cell>
          <cell r="BH4" t="str">
            <v>ALAND ISLANDS</v>
          </cell>
          <cell r="DJ4" t="str">
            <v>7705 SAR</v>
          </cell>
          <cell r="DK4" t="str">
            <v>TS Points for 7705</v>
          </cell>
        </row>
        <row r="5">
          <cell r="A5" t="str">
            <v>Network Intelligence</v>
          </cell>
          <cell r="D5" t="str">
            <v>7750 SR-e</v>
          </cell>
          <cell r="R5" t="str">
            <v>CR to ER</v>
          </cell>
          <cell r="T5" t="str">
            <v>OPTICS</v>
          </cell>
          <cell r="V5" t="str">
            <v>10/1GE</v>
          </cell>
          <cell r="X5" t="str">
            <v>IOM-a</v>
          </cell>
          <cell r="Y5" t="str">
            <v>MDA-a</v>
          </cell>
          <cell r="AA5">
            <v>2</v>
          </cell>
          <cell r="AC5" t="str">
            <v>SSP</v>
          </cell>
          <cell r="AM5" t="str">
            <v>IPR 7250 IXR</v>
          </cell>
          <cell r="BH5" t="str">
            <v>ALBANIA</v>
          </cell>
          <cell r="DJ5" t="str">
            <v>7210 SAS</v>
          </cell>
          <cell r="DK5" t="str">
            <v>TS Points for 7210</v>
          </cell>
        </row>
        <row r="6">
          <cell r="A6" t="str">
            <v>NSM</v>
          </cell>
          <cell r="D6" t="str">
            <v>7750 SR-a</v>
          </cell>
          <cell r="R6" t="str">
            <v>ER to HE</v>
          </cell>
          <cell r="T6" t="str">
            <v>NSM</v>
          </cell>
          <cell r="V6" t="str">
            <v>25GE</v>
          </cell>
          <cell r="X6" t="str">
            <v>ESS-IOM3-XP</v>
          </cell>
          <cell r="Y6" t="str">
            <v>XMA-s</v>
          </cell>
          <cell r="AA6" t="str">
            <v>1;1</v>
          </cell>
          <cell r="AC6" t="str">
            <v>Care</v>
          </cell>
          <cell r="AM6" t="str">
            <v>IPR 7450 ESS</v>
          </cell>
          <cell r="BH6" t="str">
            <v>ALGERIA</v>
          </cell>
          <cell r="DJ6" t="str">
            <v>7220 IXR</v>
          </cell>
          <cell r="DK6" t="str">
            <v>TS Points for 7x50</v>
          </cell>
        </row>
        <row r="7">
          <cell r="A7" t="str">
            <v>Services</v>
          </cell>
          <cell r="D7" t="str">
            <v>7750 SR-s</v>
          </cell>
          <cell r="R7" t="str">
            <v>CR/ER/HE</v>
          </cell>
          <cell r="T7" t="str">
            <v>vEPC</v>
          </cell>
          <cell r="V7" t="str">
            <v>25/10GE</v>
          </cell>
          <cell r="X7" t="str">
            <v>XCM-s;XCM-14s</v>
          </cell>
          <cell r="Y7" t="str">
            <v>ESS-MDA-XP</v>
          </cell>
          <cell r="AA7" t="str">
            <v>2;2</v>
          </cell>
          <cell r="AM7" t="str">
            <v>IPR 7705 SAR</v>
          </cell>
          <cell r="BH7" t="str">
            <v>ANDORRA</v>
          </cell>
          <cell r="DJ7" t="str">
            <v>7250 IXR</v>
          </cell>
          <cell r="DK7" t="str">
            <v>TS Points for 7x50</v>
          </cell>
        </row>
        <row r="8">
          <cell r="A8" t="str">
            <v>Video</v>
          </cell>
          <cell r="D8" t="str">
            <v>7450 ESS</v>
          </cell>
          <cell r="R8" t="str">
            <v>L3HQ</v>
          </cell>
          <cell r="T8" t="str">
            <v>vEPC-Term</v>
          </cell>
          <cell r="V8" t="str">
            <v>40GE</v>
          </cell>
          <cell r="X8" t="str">
            <v>XCM2</v>
          </cell>
          <cell r="Y8" t="str">
            <v>ESS-IOM3-XP</v>
          </cell>
          <cell r="AA8">
            <v>4</v>
          </cell>
          <cell r="AM8" t="str">
            <v>IPR 7750 SR</v>
          </cell>
          <cell r="BH8" t="str">
            <v>ANGOLA</v>
          </cell>
          <cell r="DJ8" t="str">
            <v>VSR-XX</v>
          </cell>
          <cell r="DK8" t="str">
            <v>TS Points for VSR</v>
          </cell>
        </row>
        <row r="9">
          <cell r="A9" t="str">
            <v>Omniswitch</v>
          </cell>
          <cell r="D9" t="str">
            <v>7950 XRS</v>
          </cell>
          <cell r="R9" t="str">
            <v>L3BQ</v>
          </cell>
          <cell r="V9" t="str">
            <v>40/1GE</v>
          </cell>
          <cell r="X9" t="str">
            <v>XCM</v>
          </cell>
          <cell r="Y9" t="str">
            <v>XMA2</v>
          </cell>
          <cell r="AA9" t="str">
            <v>0.5;0.5;0.5;0.5</v>
          </cell>
          <cell r="AM9" t="str">
            <v>IPR 7750 SR FP4</v>
          </cell>
          <cell r="BH9" t="str">
            <v>ARMENIA</v>
          </cell>
          <cell r="DJ9" t="str">
            <v>CMG</v>
          </cell>
          <cell r="DK9" t="str">
            <v>TS Points for CMG</v>
          </cell>
        </row>
        <row r="10">
          <cell r="A10" t="str">
            <v>Microsemi</v>
          </cell>
          <cell r="D10" t="str">
            <v>7705 SAR</v>
          </cell>
          <cell r="R10" t="str">
            <v>L2HQ</v>
          </cell>
          <cell r="V10" t="str">
            <v>40/10GE</v>
          </cell>
          <cell r="X10" t="str">
            <v>IOM-s</v>
          </cell>
          <cell r="Y10" t="str">
            <v>XMA</v>
          </cell>
          <cell r="AA10" t="str">
            <v>0.5;0.25</v>
          </cell>
          <cell r="AM10" t="str">
            <v>IPR 7950 XRS</v>
          </cell>
          <cell r="BH10" t="str">
            <v>AUSTRIA</v>
          </cell>
          <cell r="DJ10" t="str">
            <v>CMM</v>
          </cell>
          <cell r="DK10" t="str">
            <v>TS Points for CMM</v>
          </cell>
        </row>
        <row r="11">
          <cell r="A11" t="str">
            <v>Airframe</v>
          </cell>
          <cell r="D11" t="str">
            <v>7705 SAR-8/18</v>
          </cell>
          <cell r="R11" t="str">
            <v>L2HQ to L3HQ</v>
          </cell>
          <cell r="V11" t="str">
            <v>100GE</v>
          </cell>
          <cell r="Y11" t="str">
            <v>IOM3-XP</v>
          </cell>
          <cell r="AA11" t="str">
            <v>1;0.5</v>
          </cell>
          <cell r="AM11" t="str">
            <v>IPR VSR</v>
          </cell>
          <cell r="BH11" t="str">
            <v>AZERBAIJAN</v>
          </cell>
          <cell r="DJ11" t="str">
            <v>CMG-a</v>
          </cell>
          <cell r="DK11" t="str">
            <v>TS Points for CMG</v>
          </cell>
        </row>
        <row r="12">
          <cell r="A12" t="str">
            <v>CloudBand</v>
          </cell>
          <cell r="D12" t="str">
            <v>7705 SAR-A</v>
          </cell>
          <cell r="R12" t="str">
            <v>L2HQ to L3BQ</v>
          </cell>
          <cell r="V12" t="str">
            <v>100/10GE</v>
          </cell>
          <cell r="Y12" t="str">
            <v>XMA-SRs</v>
          </cell>
          <cell r="AM12" t="str">
            <v>IPR Optical Modules (xFPs)</v>
          </cell>
          <cell r="BH12" t="str">
            <v>BAHRAIN</v>
          </cell>
          <cell r="DJ12" t="str">
            <v>CMM-a</v>
          </cell>
          <cell r="DK12" t="str">
            <v>TS Points for CMM</v>
          </cell>
        </row>
        <row r="13">
          <cell r="A13" t="str">
            <v>Flexi</v>
          </cell>
          <cell r="D13" t="str">
            <v>7705 SAR-Ax</v>
          </cell>
          <cell r="R13" t="str">
            <v>L3BQ to L3HQ</v>
          </cell>
          <cell r="V13" t="str">
            <v>200GE</v>
          </cell>
          <cell r="Y13" t="str">
            <v>MDA-s</v>
          </cell>
          <cell r="AM13" t="str">
            <v>IPR SSP</v>
          </cell>
          <cell r="BH13" t="str">
            <v>BELARUS</v>
          </cell>
          <cell r="DJ13" t="str">
            <v>CMU</v>
          </cell>
          <cell r="DK13" t="str">
            <v>TS Points for CMU</v>
          </cell>
        </row>
        <row r="14">
          <cell r="A14" t="str">
            <v>NSW</v>
          </cell>
          <cell r="D14" t="str">
            <v>7705 SAR-F</v>
          </cell>
          <cell r="R14" t="str">
            <v>L3BQ to L3HQ</v>
          </cell>
          <cell r="V14" t="str">
            <v>400GE</v>
          </cell>
          <cell r="Y14" t="str">
            <v>XCM2</v>
          </cell>
          <cell r="AM14" t="str">
            <v>IPR CDE</v>
          </cell>
          <cell r="BH14" t="str">
            <v>BELGIUM</v>
          </cell>
          <cell r="DJ14" t="str">
            <v>Nuage</v>
          </cell>
          <cell r="DK14" t="str">
            <v>TS Points for Nuage</v>
          </cell>
        </row>
        <row r="15">
          <cell r="D15" t="str">
            <v>7705 SAR-H</v>
          </cell>
          <cell r="R15" t="str">
            <v>IPCore</v>
          </cell>
          <cell r="V15" t="str">
            <v>400/100GE</v>
          </cell>
          <cell r="AM15" t="str">
            <v>--- IP Routing OEM &amp; Others ---</v>
          </cell>
          <cell r="BH15" t="str">
            <v>BENIN</v>
          </cell>
          <cell r="DJ15" t="str">
            <v>210 WBX</v>
          </cell>
          <cell r="DK15" t="str">
            <v>Chassis</v>
          </cell>
        </row>
        <row r="16">
          <cell r="D16" t="str">
            <v>7705 SAR-Hc</v>
          </cell>
          <cell r="R16" t="str">
            <v>LSR</v>
          </cell>
          <cell r="AM16" t="str">
            <v>IPR OmniSwitch Resale</v>
          </cell>
          <cell r="BH16" t="str">
            <v>BOSNIA AND HERZEGOVINA</v>
          </cell>
          <cell r="DJ16" t="str">
            <v>7850 NSG</v>
          </cell>
          <cell r="DK16" t="str">
            <v>Chassis</v>
          </cell>
        </row>
        <row r="17">
          <cell r="D17" t="str">
            <v>7705 SAR-Hm</v>
          </cell>
          <cell r="R17" t="str">
            <v>LSR to IPCore</v>
          </cell>
          <cell r="AM17" t="str">
            <v>IPR OEM/Resale</v>
          </cell>
          <cell r="BH17" t="str">
            <v>BOTSWANA</v>
          </cell>
          <cell r="DJ17" t="str">
            <v>Core</v>
          </cell>
          <cell r="DK17" t="str">
            <v>Monitored Routers</v>
          </cell>
        </row>
        <row r="18">
          <cell r="D18" t="str">
            <v>7705 SAR-Hmc</v>
          </cell>
          <cell r="R18" t="str">
            <v>SFM</v>
          </cell>
          <cell r="AM18" t="str">
            <v>IPR Juniper Resale</v>
          </cell>
          <cell r="BH18" t="str">
            <v>BRUNEI DARUSSALAM</v>
          </cell>
          <cell r="DJ18" t="str">
            <v>Cloud Intelligence</v>
          </cell>
          <cell r="DK18" t="str">
            <v>GBPS</v>
          </cell>
        </row>
        <row r="19">
          <cell r="D19" t="str">
            <v>7705 SAR-M</v>
          </cell>
          <cell r="R19" t="str">
            <v>SFM2</v>
          </cell>
          <cell r="AM19" t="str">
            <v>IPR Legacy Products</v>
          </cell>
          <cell r="BH19" t="str">
            <v>BULGARIA</v>
          </cell>
          <cell r="DJ19" t="str">
            <v>Cloud Genome</v>
          </cell>
          <cell r="DK19" t="str">
            <v>Networks</v>
          </cell>
        </row>
        <row r="20">
          <cell r="D20" t="str">
            <v>7705 SAR-W</v>
          </cell>
          <cell r="R20" t="str">
            <v>SFM6</v>
          </cell>
          <cell r="AM20" t="str">
            <v>IPR Other Products</v>
          </cell>
          <cell r="BH20" t="str">
            <v>BURKINA FASO</v>
          </cell>
          <cell r="DJ20" t="str">
            <v>Defender w/BGP</v>
          </cell>
          <cell r="DK20" t="str">
            <v>Monitored Routers</v>
          </cell>
        </row>
        <row r="21">
          <cell r="D21" t="str">
            <v>7705 SAR-Wx</v>
          </cell>
          <cell r="R21" t="str">
            <v>SFM5</v>
          </cell>
          <cell r="AM21" t="str">
            <v>--- Network Management ---</v>
          </cell>
          <cell r="BH21" t="str">
            <v>BURUNDI</v>
          </cell>
          <cell r="DJ21" t="str">
            <v>Defender wo/BGP</v>
          </cell>
          <cell r="DK21" t="str">
            <v>Monitored Routers</v>
          </cell>
        </row>
        <row r="22">
          <cell r="D22" t="str">
            <v>7705 SAR-X</v>
          </cell>
          <cell r="R22" t="str">
            <v>SFM-s</v>
          </cell>
          <cell r="AM22" t="str">
            <v>NA NSP</v>
          </cell>
          <cell r="BH22" t="str">
            <v>CAMEROON</v>
          </cell>
          <cell r="DJ22" t="str">
            <v>Mitigation</v>
          </cell>
          <cell r="DK22" t="str">
            <v>Network</v>
          </cell>
        </row>
        <row r="23">
          <cell r="D23" t="str">
            <v>7705 SAR-O</v>
          </cell>
          <cell r="R23" t="str">
            <v>CPM</v>
          </cell>
          <cell r="AM23" t="str">
            <v>NA VNO</v>
          </cell>
          <cell r="BH23" t="str">
            <v>CAPE VERDE</v>
          </cell>
          <cell r="DJ23" t="str">
            <v>Service Intelligence</v>
          </cell>
          <cell r="DK23" t="str">
            <v>Subscribers</v>
          </cell>
        </row>
        <row r="24">
          <cell r="D24" t="str">
            <v>7210 SAS</v>
          </cell>
          <cell r="R24" t="str">
            <v>CPM2</v>
          </cell>
          <cell r="AM24" t="str">
            <v>NA SRS</v>
          </cell>
          <cell r="BH24" t="str">
            <v>CENTRAL AFRICAN REPUBLIC</v>
          </cell>
          <cell r="DJ24" t="str">
            <v>Subscriber Intelligence</v>
          </cell>
          <cell r="DK24" t="str">
            <v>Subscribers</v>
          </cell>
        </row>
        <row r="25">
          <cell r="D25" t="str">
            <v>7210 SAS-D</v>
          </cell>
          <cell r="R25" t="str">
            <v>CPM-e</v>
          </cell>
          <cell r="AM25" t="str">
            <v>NA CDE</v>
          </cell>
          <cell r="BH25" t="str">
            <v>CHAD</v>
          </cell>
          <cell r="DJ25" t="str">
            <v>Radius</v>
          </cell>
          <cell r="DK25" t="str">
            <v>Network</v>
          </cell>
        </row>
        <row r="26">
          <cell r="D26" t="str">
            <v>7210 SAS-Dxp</v>
          </cell>
          <cell r="R26" t="str">
            <v>CCM-e</v>
          </cell>
          <cell r="AM26" t="str">
            <v>NA OEM</v>
          </cell>
          <cell r="BH26" t="str">
            <v>COMOROS</v>
          </cell>
          <cell r="DJ26" t="str">
            <v>DNS</v>
          </cell>
          <cell r="DK26" t="str">
            <v>Network</v>
          </cell>
        </row>
        <row r="27">
          <cell r="D27" t="str">
            <v>7210 SAS-E</v>
          </cell>
          <cell r="R27" t="str">
            <v>CPM-a</v>
          </cell>
          <cell r="AM27" t="str">
            <v>NSM Legacy Products</v>
          </cell>
          <cell r="BH27" t="str">
            <v>CONGO</v>
          </cell>
          <cell r="DJ27" t="str">
            <v>Generic</v>
          </cell>
          <cell r="DK27" t="str">
            <v>Network</v>
          </cell>
        </row>
        <row r="28">
          <cell r="D28" t="str">
            <v>7210 SAS-K</v>
          </cell>
          <cell r="R28" t="str">
            <v>CPM-2s</v>
          </cell>
          <cell r="AM28" t="str">
            <v>--- Mobile Packet Core ---</v>
          </cell>
          <cell r="BH28" t="str">
            <v>CONGO, DEMOCRATIC REPUBLIC OF THE</v>
          </cell>
          <cell r="DJ28" t="str">
            <v>NSP 20+</v>
          </cell>
          <cell r="DK28" t="str">
            <v>LP (License Points)</v>
          </cell>
        </row>
        <row r="29">
          <cell r="D29" t="str">
            <v>7210 SAS-M</v>
          </cell>
          <cell r="R29" t="str">
            <v>CPM-s</v>
          </cell>
          <cell r="AM29" t="str">
            <v>MPC CMG</v>
          </cell>
          <cell r="BH29" t="str">
            <v>COTE D'IVOIRE</v>
          </cell>
          <cell r="DJ29" t="str">
            <v>NSP | NFM-P Supplementary Products</v>
          </cell>
          <cell r="DK29" t="str">
            <v>LP (License Points)</v>
          </cell>
        </row>
        <row r="30">
          <cell r="D30" t="str">
            <v>7210 SAS-Mxp</v>
          </cell>
          <cell r="R30" t="str">
            <v>CPM5</v>
          </cell>
          <cell r="AM30" t="str">
            <v>MPC CMM</v>
          </cell>
          <cell r="BH30" t="str">
            <v>CROATIA</v>
          </cell>
          <cell r="DJ30" t="str">
            <v>NSP | NFM-P</v>
          </cell>
          <cell r="DK30" t="str">
            <v>LP (License Points)</v>
          </cell>
        </row>
        <row r="31">
          <cell r="D31" t="str">
            <v>7210 SAS-T</v>
          </cell>
          <cell r="R31" t="str">
            <v>R6</v>
          </cell>
          <cell r="AM31" t="str">
            <v>MPC CMG SRS</v>
          </cell>
          <cell r="BH31" t="str">
            <v>CUBA</v>
          </cell>
          <cell r="DJ31" t="str">
            <v>CLM</v>
          </cell>
          <cell r="DK31" t="str">
            <v>Instances</v>
          </cell>
        </row>
        <row r="32">
          <cell r="D32" t="str">
            <v>7210 SAS-S/Sx</v>
          </cell>
          <cell r="R32" t="str">
            <v>R12</v>
          </cell>
          <cell r="AM32" t="str">
            <v>MPC CMM SRS</v>
          </cell>
          <cell r="BH32" t="str">
            <v>CYPRUS</v>
          </cell>
          <cell r="DJ32" t="str">
            <v>NSP | NSD</v>
          </cell>
          <cell r="DK32" t="str">
            <v>Base Product (N/A)</v>
          </cell>
        </row>
        <row r="33">
          <cell r="D33" t="str">
            <v>7210 SAS-R</v>
          </cell>
          <cell r="R33" t="str">
            <v>CPIOM</v>
          </cell>
          <cell r="AM33" t="str">
            <v>MPC CDE</v>
          </cell>
          <cell r="BH33" t="str">
            <v>CZECH REPUBLIC</v>
          </cell>
          <cell r="DJ33" t="str">
            <v>NSD &amp; NRC Routing</v>
          </cell>
          <cell r="DK33" t="str">
            <v>LP (License Points)</v>
          </cell>
        </row>
        <row r="34">
          <cell r="D34" t="str">
            <v>7210 SAS-X</v>
          </cell>
          <cell r="R34" t="str">
            <v>Common</v>
          </cell>
          <cell r="AM34" t="str">
            <v>MPC Legacy fNG/fNS</v>
          </cell>
          <cell r="BH34" t="str">
            <v>DENMARK</v>
          </cell>
          <cell r="DJ34" t="str">
            <v>NSP | NRC-P</v>
          </cell>
          <cell r="DK34" t="str">
            <v>Base Product (N/A)</v>
          </cell>
        </row>
        <row r="35">
          <cell r="D35" t="str">
            <v>7220 IXR</v>
          </cell>
          <cell r="R35" t="str">
            <v>SGW</v>
          </cell>
          <cell r="AM35" t="str">
            <v>MPC Legacy 7750 MGW</v>
          </cell>
          <cell r="BH35" t="str">
            <v>DJIBOUTI</v>
          </cell>
          <cell r="DJ35" t="str">
            <v>NSP | NRC-X</v>
          </cell>
          <cell r="DK35" t="str">
            <v>Base Product (N/A)</v>
          </cell>
        </row>
        <row r="36">
          <cell r="D36" t="str">
            <v>7220 IXR-D</v>
          </cell>
          <cell r="R36" t="str">
            <v>EPDG</v>
          </cell>
          <cell r="AM36" t="str">
            <v>MPC Legacy 9471 WMM</v>
          </cell>
          <cell r="BH36" t="str">
            <v>EGYPT</v>
          </cell>
          <cell r="DJ36" t="str">
            <v>NSP | NRC-F</v>
          </cell>
          <cell r="DK36" t="str">
            <v>Base Product (N/A)</v>
          </cell>
        </row>
        <row r="37">
          <cell r="D37" t="str">
            <v>7220 IXR-H</v>
          </cell>
          <cell r="R37" t="str">
            <v>TWAG</v>
          </cell>
          <cell r="AM37" t="str">
            <v>--- Nuage ---</v>
          </cell>
          <cell r="BH37" t="str">
            <v>EQUATORIAL GUINEA</v>
          </cell>
          <cell r="DJ37" t="str">
            <v>VNO</v>
          </cell>
          <cell r="DK37" t="str">
            <v>Contact Darren Fowlie for Pricing / Costing</v>
          </cell>
        </row>
        <row r="38">
          <cell r="D38" t="str">
            <v>7220 SR Linux</v>
          </cell>
          <cell r="R38" t="str">
            <v>PGW</v>
          </cell>
          <cell r="AM38" t="str">
            <v>Nuage</v>
          </cell>
          <cell r="BH38" t="str">
            <v>ERITREA</v>
          </cell>
          <cell r="DJ38" t="str">
            <v>VNO NSD</v>
          </cell>
          <cell r="DK38" t="str">
            <v>Contact Darren Fowlie for Pricing / Costing</v>
          </cell>
        </row>
        <row r="39">
          <cell r="D39" t="str">
            <v>7250 IXR</v>
          </cell>
          <cell r="R39" t="str">
            <v>SSG</v>
          </cell>
          <cell r="AM39" t="str">
            <v>Nuage SRS</v>
          </cell>
          <cell r="BH39" t="str">
            <v>ESTONIA</v>
          </cell>
        </row>
        <row r="40">
          <cell r="D40" t="str">
            <v>7250 IXR-X</v>
          </cell>
          <cell r="R40" t="str">
            <v>SGW M2M</v>
          </cell>
          <cell r="AM40" t="str">
            <v>Nuage CDE</v>
          </cell>
          <cell r="BH40" t="str">
            <v>ETHIOPIA</v>
          </cell>
        </row>
        <row r="41">
          <cell r="D41" t="str">
            <v>7250 IXR-Xs</v>
          </cell>
          <cell r="R41" t="str">
            <v>EPDG M2M</v>
          </cell>
          <cell r="AM41" t="str">
            <v>Nuage OEM</v>
          </cell>
          <cell r="BH41" t="str">
            <v>FAROE ISLANDS</v>
          </cell>
        </row>
        <row r="42">
          <cell r="D42" t="str">
            <v>7250 IXR-s</v>
          </cell>
          <cell r="R42" t="str">
            <v>PGW M2M</v>
          </cell>
          <cell r="AM42" t="str">
            <v>--- AirFrame ---</v>
          </cell>
          <cell r="BH42" t="str">
            <v>FINLAND</v>
          </cell>
        </row>
        <row r="43">
          <cell r="D43" t="str">
            <v>7250 IXR-e</v>
          </cell>
          <cell r="R43" t="str">
            <v>IPSec</v>
          </cell>
          <cell r="AM43" t="str">
            <v>AirFrame</v>
          </cell>
          <cell r="BH43" t="str">
            <v>FRANCE</v>
          </cell>
        </row>
        <row r="44">
          <cell r="D44" t="str">
            <v>7250 IXR-6/10</v>
          </cell>
          <cell r="R44" t="str">
            <v>NAT</v>
          </cell>
          <cell r="AM44" t="str">
            <v>--- Deepfield ---</v>
          </cell>
          <cell r="BH44" t="str">
            <v>GABON</v>
          </cell>
        </row>
        <row r="45">
          <cell r="D45" t="str">
            <v>7250 IXR-6/10 Gen2</v>
          </cell>
          <cell r="R45" t="str">
            <v>DPI</v>
          </cell>
          <cell r="AM45" t="str">
            <v>Deepfield</v>
          </cell>
          <cell r="BH45" t="str">
            <v>GAMBIA</v>
          </cell>
        </row>
        <row r="46">
          <cell r="D46" t="str">
            <v>7250 SR Linux</v>
          </cell>
          <cell r="R46" t="str">
            <v>TCP-O</v>
          </cell>
          <cell r="AM46" t="str">
            <v>Deepfield SRS</v>
          </cell>
          <cell r="BH46" t="str">
            <v>GEORGIA</v>
          </cell>
        </row>
        <row r="47">
          <cell r="D47" t="str">
            <v>7250 IXR-R4/6</v>
          </cell>
          <cell r="R47" t="str">
            <v>MME</v>
          </cell>
          <cell r="AM47" t="str">
            <v>--- Video ---</v>
          </cell>
          <cell r="BH47" t="str">
            <v>GERMANY</v>
          </cell>
        </row>
        <row r="48">
          <cell r="D48" t="str">
            <v>7250 IXR-R6</v>
          </cell>
          <cell r="R48" t="str">
            <v>SGSN</v>
          </cell>
          <cell r="AM48" t="str">
            <v>Video Own Products</v>
          </cell>
          <cell r="BH48" t="str">
            <v>GHANA</v>
          </cell>
        </row>
        <row r="49">
          <cell r="D49" t="str">
            <v>Optics</v>
          </cell>
          <cell r="R49" t="str">
            <v>MME IoT</v>
          </cell>
          <cell r="AM49" t="str">
            <v>Video Velocix</v>
          </cell>
          <cell r="BH49" t="str">
            <v>GIBRALTAR</v>
          </cell>
        </row>
        <row r="50">
          <cell r="D50" t="str">
            <v>VSR</v>
          </cell>
          <cell r="R50" t="str">
            <v>SGSN IoT</v>
          </cell>
          <cell r="AM50" t="str">
            <v>Video OEM</v>
          </cell>
          <cell r="BH50" t="str">
            <v>GREECE</v>
          </cell>
        </row>
        <row r="51">
          <cell r="D51" t="str">
            <v>VSR-a</v>
          </cell>
          <cell r="R51" t="str">
            <v>Perp</v>
          </cell>
          <cell r="AM51" t="str">
            <v>Video CDE</v>
          </cell>
          <cell r="BH51" t="str">
            <v>GREENLAND</v>
          </cell>
        </row>
        <row r="52">
          <cell r="D52" t="str">
            <v>IP OEM/Other</v>
          </cell>
          <cell r="R52" t="str">
            <v>Term</v>
          </cell>
          <cell r="AM52" t="str">
            <v>Video Deployment</v>
          </cell>
          <cell r="BH52" t="str">
            <v>GUERNSEY</v>
          </cell>
        </row>
        <row r="53">
          <cell r="D53" t="str">
            <v>IP OEM</v>
          </cell>
          <cell r="R53" t="str">
            <v>Base</v>
          </cell>
          <cell r="AM53" t="str">
            <v>Video Integration</v>
          </cell>
          <cell r="BH53" t="str">
            <v>GUINEA</v>
          </cell>
        </row>
        <row r="54">
          <cell r="D54" t="str">
            <v>IP Other</v>
          </cell>
          <cell r="R54" t="str">
            <v>VPN</v>
          </cell>
          <cell r="AM54" t="str">
            <v>Video Training</v>
          </cell>
          <cell r="BH54" t="str">
            <v>GUINEA-BISSAU</v>
          </cell>
        </row>
        <row r="55">
          <cell r="D55" t="str">
            <v>IP Legacy</v>
          </cell>
          <cell r="R55" t="str">
            <v>Bus Intel</v>
          </cell>
          <cell r="AM55" t="str">
            <v>Video Managed Services</v>
          </cell>
          <cell r="BH55" t="str">
            <v>HEARD ISLAND AND MCDONALD ISLANDS</v>
          </cell>
        </row>
        <row r="56">
          <cell r="D56" t="str">
            <v>IP CDE</v>
          </cell>
          <cell r="R56" t="str">
            <v>Service Chaining</v>
          </cell>
          <cell r="AM56" t="str">
            <v>Video Professional Services</v>
          </cell>
          <cell r="BH56" t="str">
            <v>HUNGARY</v>
          </cell>
        </row>
        <row r="57">
          <cell r="D57" t="str">
            <v>IP SW CDE</v>
          </cell>
          <cell r="R57" t="str">
            <v>ACL</v>
          </cell>
          <cell r="AM57" t="str">
            <v>Video PM &amp; TPM</v>
          </cell>
          <cell r="BH57" t="str">
            <v>ICELAND</v>
          </cell>
        </row>
        <row r="58">
          <cell r="D58" t="str">
            <v>IP HW CDE</v>
          </cell>
          <cell r="R58" t="str">
            <v>Border Router</v>
          </cell>
          <cell r="AM58" t="str">
            <v>Video OEM Services</v>
          </cell>
          <cell r="BH58" t="str">
            <v>IRAN, ISLAMIC REPUBLIC OF</v>
          </cell>
        </row>
        <row r="59">
          <cell r="D59" t="str">
            <v>IPR SSP</v>
          </cell>
          <cell r="R59" t="str">
            <v>AMF</v>
          </cell>
          <cell r="AM59" t="str">
            <v>Video Services OnShore</v>
          </cell>
          <cell r="BH59" t="str">
            <v>IRAQ</v>
          </cell>
        </row>
        <row r="60">
          <cell r="D60" t="str">
            <v>VSR SRS</v>
          </cell>
          <cell r="R60" t="str">
            <v>N3IWF</v>
          </cell>
          <cell r="AM60" t="str">
            <v>Video Services OffShore</v>
          </cell>
          <cell r="BH60" t="str">
            <v>IRELAND</v>
          </cell>
        </row>
        <row r="61">
          <cell r="D61" t="str">
            <v>OEM SSP</v>
          </cell>
          <cell r="R61" t="str">
            <v>NRF</v>
          </cell>
          <cell r="AM61" t="str">
            <v>Video Care</v>
          </cell>
          <cell r="BH61" t="str">
            <v>ISLE OF MAN</v>
          </cell>
        </row>
        <row r="62">
          <cell r="D62" t="str">
            <v>Juniper</v>
          </cell>
          <cell r="R62" t="str">
            <v>NSSF</v>
          </cell>
          <cell r="AM62" t="str">
            <v>Video Care OnShore</v>
          </cell>
          <cell r="BH62" t="str">
            <v>ISRAEL</v>
          </cell>
        </row>
        <row r="63">
          <cell r="D63" t="str">
            <v>CMG</v>
          </cell>
          <cell r="R63" t="str">
            <v>UPF</v>
          </cell>
          <cell r="AM63" t="str">
            <v>Video Care OffShore</v>
          </cell>
          <cell r="BH63" t="str">
            <v>ITALY</v>
          </cell>
        </row>
        <row r="64">
          <cell r="D64" t="str">
            <v>CMG Term</v>
          </cell>
          <cell r="R64" t="str">
            <v>SMF</v>
          </cell>
          <cell r="AM64" t="str">
            <v>--- Training ---</v>
          </cell>
          <cell r="BH64" t="str">
            <v>JERSEY</v>
          </cell>
        </row>
        <row r="65">
          <cell r="D65" t="str">
            <v>CMM</v>
          </cell>
          <cell r="R65" t="str">
            <v>CSM</v>
          </cell>
          <cell r="AM65" t="str">
            <v>Deepfield Training</v>
          </cell>
          <cell r="BH65" t="str">
            <v>JORDAN</v>
          </cell>
        </row>
        <row r="66">
          <cell r="D66" t="str">
            <v>CMM Term</v>
          </cell>
          <cell r="R66" t="str">
            <v>WLGW</v>
          </cell>
          <cell r="AM66" t="str">
            <v>IPR Training</v>
          </cell>
          <cell r="BH66" t="str">
            <v>KAZAKHSTAN</v>
          </cell>
        </row>
        <row r="67">
          <cell r="D67" t="str">
            <v>CMM/CMG-a</v>
          </cell>
          <cell r="R67" t="str">
            <v>Web Router</v>
          </cell>
          <cell r="AM67" t="str">
            <v>IPR Certifications</v>
          </cell>
          <cell r="BH67" t="str">
            <v>KENYA</v>
          </cell>
        </row>
        <row r="68">
          <cell r="D68" t="str">
            <v>CMU</v>
          </cell>
          <cell r="R68" t="str">
            <v>IDP</v>
          </cell>
          <cell r="AM68" t="str">
            <v>MPC Training</v>
          </cell>
          <cell r="BH68" t="str">
            <v>KOSOVO</v>
          </cell>
        </row>
        <row r="69">
          <cell r="D69" t="str">
            <v>9471 MME/WMM</v>
          </cell>
          <cell r="R69" t="str">
            <v>Home</v>
          </cell>
          <cell r="AM69" t="str">
            <v>Nuage Training</v>
          </cell>
          <cell r="BH69" t="str">
            <v>KUWAIT</v>
          </cell>
        </row>
        <row r="70">
          <cell r="D70" t="str">
            <v>Packet Core CDE</v>
          </cell>
          <cell r="R70" t="str">
            <v>RTU</v>
          </cell>
          <cell r="AM70" t="str">
            <v>Video Training</v>
          </cell>
          <cell r="BH70" t="str">
            <v>KYRGYZSTAN</v>
          </cell>
        </row>
        <row r="71">
          <cell r="D71" t="str">
            <v>ePC SRS</v>
          </cell>
          <cell r="AM71" t="str">
            <v>--- Services ---</v>
          </cell>
          <cell r="BH71" t="str">
            <v>LATVIA</v>
          </cell>
        </row>
        <row r="72">
          <cell r="D72" t="str">
            <v>ePC CMG SRS</v>
          </cell>
          <cell r="AM72" t="str">
            <v>Deepfield Services</v>
          </cell>
          <cell r="BH72" t="str">
            <v>LEBANON</v>
          </cell>
        </row>
        <row r="73">
          <cell r="D73" t="str">
            <v>ePC CMM SRS</v>
          </cell>
          <cell r="AM73" t="str">
            <v>Deepfield Services OnShore</v>
          </cell>
          <cell r="BH73" t="str">
            <v>LESOTHO</v>
          </cell>
        </row>
        <row r="74">
          <cell r="D74" t="str">
            <v>VSD/VSC</v>
          </cell>
          <cell r="AM74" t="str">
            <v>Deepfield Services OffShore</v>
          </cell>
          <cell r="BH74" t="str">
            <v>LIBERIA</v>
          </cell>
        </row>
        <row r="75">
          <cell r="D75" t="str">
            <v>VSP</v>
          </cell>
          <cell r="AM75" t="str">
            <v>IPR Deployment Services</v>
          </cell>
          <cell r="BH75" t="str">
            <v>LIBYA</v>
          </cell>
        </row>
        <row r="76">
          <cell r="D76" t="str">
            <v>VSD/VSC Term</v>
          </cell>
          <cell r="AM76" t="str">
            <v>IPR Integration Services</v>
          </cell>
          <cell r="BH76" t="str">
            <v>LIBYAN ARAB JAMAHIRIYA</v>
          </cell>
        </row>
        <row r="77">
          <cell r="D77" t="str">
            <v>VSP Term</v>
          </cell>
          <cell r="AM77" t="str">
            <v>IPR Professional Services</v>
          </cell>
          <cell r="BH77" t="str">
            <v>LIECHTENSTEIN</v>
          </cell>
        </row>
        <row r="78">
          <cell r="D78" t="str">
            <v>7850 VSA/VSG</v>
          </cell>
          <cell r="AM78" t="str">
            <v>IPR PM &amp; TPM</v>
          </cell>
          <cell r="BH78" t="str">
            <v>LITHUANIA</v>
          </cell>
        </row>
        <row r="79">
          <cell r="D79" t="str">
            <v>210 WBX</v>
          </cell>
          <cell r="AM79" t="str">
            <v>IPR OnShore Services</v>
          </cell>
          <cell r="BH79" t="str">
            <v>LUXEMBOURG</v>
          </cell>
        </row>
        <row r="80">
          <cell r="D80" t="str">
            <v>VTEP</v>
          </cell>
          <cell r="AM80" t="str">
            <v>IPR OffShore Services</v>
          </cell>
          <cell r="BH80" t="str">
            <v>MACEDONIA, THE FORMER YUGOSLAV REPUBLIC OF</v>
          </cell>
        </row>
        <row r="81">
          <cell r="D81" t="str">
            <v>VTEP Term</v>
          </cell>
          <cell r="AM81" t="str">
            <v>IPR 3rd Party Deployment Services</v>
          </cell>
          <cell r="BH81" t="str">
            <v>MADAGASCAR</v>
          </cell>
        </row>
        <row r="82">
          <cell r="D82" t="str">
            <v>VNS Portal</v>
          </cell>
          <cell r="AM82" t="str">
            <v>IPR 3rd Party Professional Services</v>
          </cell>
          <cell r="BH82" t="str">
            <v>MALAWI</v>
          </cell>
        </row>
        <row r="83">
          <cell r="D83" t="str">
            <v>VNS Portal Term</v>
          </cell>
          <cell r="AM83" t="str">
            <v>IPR Certifications</v>
          </cell>
          <cell r="BH83" t="str">
            <v>MALI</v>
          </cell>
        </row>
        <row r="84">
          <cell r="D84" t="str">
            <v>NSG HW</v>
          </cell>
          <cell r="AM84" t="str">
            <v>MPC Services</v>
          </cell>
          <cell r="BH84" t="str">
            <v>MALTA</v>
          </cell>
        </row>
        <row r="85">
          <cell r="D85" t="str">
            <v>NSG-C</v>
          </cell>
          <cell r="AM85" t="str">
            <v>MPC Services OnShore</v>
          </cell>
          <cell r="BH85" t="str">
            <v>MAURITANIA</v>
          </cell>
        </row>
        <row r="86">
          <cell r="D86" t="str">
            <v>NSG-E</v>
          </cell>
          <cell r="AM86" t="str">
            <v>MPC Services OffShore</v>
          </cell>
          <cell r="BH86" t="str">
            <v>MAURITIUS</v>
          </cell>
        </row>
        <row r="87">
          <cell r="D87" t="str">
            <v>NSG-X</v>
          </cell>
          <cell r="AM87" t="str">
            <v>NA Services</v>
          </cell>
          <cell r="BH87" t="str">
            <v>MAYOTTE</v>
          </cell>
        </row>
        <row r="88">
          <cell r="D88" t="str">
            <v>NSG-V</v>
          </cell>
          <cell r="AM88" t="str">
            <v>NA Services OnShore</v>
          </cell>
          <cell r="BH88" t="str">
            <v>MOLDOVA, REPUBLIC OF</v>
          </cell>
        </row>
        <row r="89">
          <cell r="D89" t="str">
            <v>NSG SW</v>
          </cell>
          <cell r="AM89" t="str">
            <v>NA Services OffShore</v>
          </cell>
          <cell r="BH89" t="str">
            <v>MONACO</v>
          </cell>
        </row>
        <row r="90">
          <cell r="D90" t="str">
            <v>NSG SW Term</v>
          </cell>
          <cell r="AM90" t="str">
            <v>Nuage Services</v>
          </cell>
          <cell r="BH90" t="str">
            <v>MONTENEGRO</v>
          </cell>
        </row>
        <row r="91">
          <cell r="D91" t="str">
            <v>VSS</v>
          </cell>
          <cell r="AM91" t="str">
            <v>Nuage PM &amp; TPM</v>
          </cell>
          <cell r="BH91" t="str">
            <v>MOROCCO</v>
          </cell>
        </row>
        <row r="92">
          <cell r="D92" t="str">
            <v>VSS Term</v>
          </cell>
          <cell r="AM92" t="str">
            <v>Nuage Deployment Services</v>
          </cell>
          <cell r="BH92" t="str">
            <v>MOZAMBIQUE</v>
          </cell>
        </row>
        <row r="93">
          <cell r="D93" t="str">
            <v>Nuage OEM</v>
          </cell>
          <cell r="AM93" t="str">
            <v>Nuage Services OnShore</v>
          </cell>
          <cell r="BH93" t="str">
            <v>NAMIBIA</v>
          </cell>
        </row>
        <row r="94">
          <cell r="D94" t="str">
            <v>Nuage CDE</v>
          </cell>
          <cell r="AM94" t="str">
            <v>Nuage Services OffShore</v>
          </cell>
          <cell r="BH94" t="str">
            <v>NETHERLANDS</v>
          </cell>
        </row>
        <row r="95">
          <cell r="D95" t="str">
            <v>Nuage SRS</v>
          </cell>
          <cell r="AM95" t="str">
            <v>--- Care ---</v>
          </cell>
          <cell r="BH95" t="str">
            <v>NIGER</v>
          </cell>
        </row>
        <row r="96">
          <cell r="D96" t="str">
            <v>Deepfield</v>
          </cell>
          <cell r="AM96" t="str">
            <v>AirFrame Care</v>
          </cell>
          <cell r="BH96" t="str">
            <v>NIGERIA</v>
          </cell>
        </row>
        <row r="97">
          <cell r="D97" t="str">
            <v>Deepfield SRS</v>
          </cell>
          <cell r="AM97" t="str">
            <v>AirFrame Care OnShore</v>
          </cell>
          <cell r="BH97" t="str">
            <v>NORWAY</v>
          </cell>
        </row>
        <row r="98">
          <cell r="D98" t="str">
            <v>NSM HW</v>
          </cell>
          <cell r="AM98" t="str">
            <v>AirFrame Care OffShore</v>
          </cell>
          <cell r="BH98" t="str">
            <v>OMAN</v>
          </cell>
        </row>
        <row r="99">
          <cell r="D99" t="str">
            <v>NSM OEM</v>
          </cell>
          <cell r="AM99" t="str">
            <v>Deepfield Care</v>
          </cell>
          <cell r="BH99" t="str">
            <v>PAKISTAN</v>
          </cell>
        </row>
        <row r="100">
          <cell r="D100" t="str">
            <v>NSM Legacy</v>
          </cell>
          <cell r="AM100" t="str">
            <v>Deepfield Care OnShore</v>
          </cell>
          <cell r="BH100" t="str">
            <v>PALESTINIAN TERRITORY, OCCUPIED</v>
          </cell>
        </row>
        <row r="101">
          <cell r="D101" t="str">
            <v>NFM-P</v>
          </cell>
          <cell r="AM101" t="str">
            <v>Deepfield Care OffShore</v>
          </cell>
          <cell r="BH101" t="str">
            <v>POLAND</v>
          </cell>
        </row>
        <row r="102">
          <cell r="D102" t="str">
            <v>NFM-T</v>
          </cell>
          <cell r="AM102" t="str">
            <v>IPR Care TS</v>
          </cell>
          <cell r="BH102" t="str">
            <v>PORTUGAL</v>
          </cell>
        </row>
        <row r="103">
          <cell r="D103" t="str">
            <v>NSD&amp;NRC</v>
          </cell>
          <cell r="AM103" t="str">
            <v>IPR Care RES</v>
          </cell>
          <cell r="BH103" t="str">
            <v>QATAR</v>
          </cell>
        </row>
        <row r="104">
          <cell r="D104" t="str">
            <v>NSP</v>
          </cell>
          <cell r="AM104" t="str">
            <v>IPR Care OEM</v>
          </cell>
          <cell r="BH104" t="str">
            <v>REUNION</v>
          </cell>
        </row>
        <row r="105">
          <cell r="D105" t="str">
            <v>NSP Services</v>
          </cell>
          <cell r="AM105" t="str">
            <v>IPR Care OnShore</v>
          </cell>
          <cell r="BH105" t="str">
            <v>ROMANIA</v>
          </cell>
        </row>
        <row r="106">
          <cell r="D106" t="str">
            <v>VSAP</v>
          </cell>
          <cell r="AM106" t="str">
            <v>IPR Care OffShore</v>
          </cell>
          <cell r="BH106" t="str">
            <v>RUSSIA</v>
          </cell>
        </row>
        <row r="107">
          <cell r="D107" t="str">
            <v>VNO</v>
          </cell>
          <cell r="AM107" t="str">
            <v>IPR Care Field Services</v>
          </cell>
          <cell r="BH107" t="str">
            <v>RWANDA</v>
          </cell>
        </row>
        <row r="108">
          <cell r="D108" t="str">
            <v>5620 SAM</v>
          </cell>
          <cell r="AM108" t="str">
            <v>MPC Care</v>
          </cell>
          <cell r="BH108" t="str">
            <v>SAN MARINO</v>
          </cell>
        </row>
        <row r="109">
          <cell r="D109" t="str">
            <v>5670 RAM</v>
          </cell>
          <cell r="AM109" t="str">
            <v>MPC Care OnShore</v>
          </cell>
          <cell r="BH109" t="str">
            <v>SAO TOME AND PRINCIPE</v>
          </cell>
        </row>
        <row r="110">
          <cell r="D110" t="str">
            <v>5650 CPAM</v>
          </cell>
          <cell r="AM110" t="str">
            <v>MPC Care OffShore</v>
          </cell>
          <cell r="BH110" t="str">
            <v>SAUDI ARABIA</v>
          </cell>
        </row>
        <row r="111">
          <cell r="D111" t="str">
            <v>7701 CPAA</v>
          </cell>
          <cell r="AM111" t="str">
            <v>NA Care</v>
          </cell>
          <cell r="BH111" t="str">
            <v>SENEGAL</v>
          </cell>
        </row>
        <row r="112">
          <cell r="D112" t="str">
            <v>NSM CDE</v>
          </cell>
          <cell r="AM112" t="str">
            <v>NA Care OnShore</v>
          </cell>
          <cell r="BH112" t="str">
            <v>SERBIA</v>
          </cell>
        </row>
        <row r="113">
          <cell r="D113" t="str">
            <v>NSM SRS</v>
          </cell>
          <cell r="AM113" t="str">
            <v>NA Care OffShore</v>
          </cell>
          <cell r="BH113" t="str">
            <v>SIERRA LEONE</v>
          </cell>
        </row>
        <row r="114">
          <cell r="D114" t="str">
            <v>Mediaroom</v>
          </cell>
          <cell r="AM114" t="str">
            <v>Nuage Care</v>
          </cell>
          <cell r="BH114" t="str">
            <v>SLOVAKIA</v>
          </cell>
        </row>
        <row r="115">
          <cell r="D115" t="str">
            <v>MiView</v>
          </cell>
          <cell r="AM115" t="str">
            <v>Nuage Care OnShore</v>
          </cell>
          <cell r="BH115" t="str">
            <v>SLOVENIA</v>
          </cell>
        </row>
        <row r="116">
          <cell r="D116" t="str">
            <v>VBO</v>
          </cell>
          <cell r="AM116" t="str">
            <v>Nuage Care OffShore</v>
          </cell>
          <cell r="BH116" t="str">
            <v>SOMALIA</v>
          </cell>
        </row>
        <row r="117">
          <cell r="D117" t="str">
            <v>Velocix</v>
          </cell>
          <cell r="AM117" t="str">
            <v>--- NSW ---</v>
          </cell>
          <cell r="BH117" t="str">
            <v>SOUTH AFRICA</v>
          </cell>
        </row>
        <row r="118">
          <cell r="D118" t="str">
            <v>Video CDE</v>
          </cell>
          <cell r="AM118" t="str">
            <v>NSW CBND SW</v>
          </cell>
          <cell r="BH118" t="str">
            <v>SPAIN</v>
          </cell>
        </row>
        <row r="119">
          <cell r="D119" t="str">
            <v>OmniSwitch 6900</v>
          </cell>
          <cell r="AM119" t="str">
            <v>NSW CBND SRS</v>
          </cell>
          <cell r="BH119" t="str">
            <v>SUDAN</v>
          </cell>
        </row>
        <row r="120">
          <cell r="D120" t="str">
            <v>OmniSwitch 6865</v>
          </cell>
          <cell r="AM120" t="str">
            <v>NSW CBND OEM</v>
          </cell>
          <cell r="BH120" t="str">
            <v>SVALBARD AND JAN MAYEN</v>
          </cell>
        </row>
        <row r="121">
          <cell r="D121" t="str">
            <v>OmniSwitch 6860</v>
          </cell>
          <cell r="AM121" t="str">
            <v>NSW CBND Services</v>
          </cell>
          <cell r="BH121" t="str">
            <v>SWAZILAND</v>
          </cell>
        </row>
        <row r="122">
          <cell r="D122" t="str">
            <v>OmniSwitch 6560</v>
          </cell>
          <cell r="AM122" t="str">
            <v>NSW CBND Care</v>
          </cell>
          <cell r="BH122" t="str">
            <v>SWEDEN</v>
          </cell>
        </row>
        <row r="123">
          <cell r="D123" t="str">
            <v>OmniSwitch 6450</v>
          </cell>
          <cell r="AM123" t="str">
            <v>NSW CBND Care Renewal</v>
          </cell>
          <cell r="BH123" t="str">
            <v>SWITZERLAND</v>
          </cell>
        </row>
        <row r="124">
          <cell r="D124" t="str">
            <v>OmniSwitch 6465</v>
          </cell>
          <cell r="AM124" t="str">
            <v>NSW CBAM SW</v>
          </cell>
          <cell r="BH124" t="str">
            <v>SYRIAN ARAB REPUBLIC</v>
          </cell>
        </row>
        <row r="125">
          <cell r="D125" t="str">
            <v>OmniSwitch</v>
          </cell>
          <cell r="AM125" t="str">
            <v>NSW CBAM SRS</v>
          </cell>
          <cell r="BH125" t="str">
            <v>TAJIKISTAN</v>
          </cell>
        </row>
        <row r="126">
          <cell r="D126" t="str">
            <v>OmniSwitch Resale</v>
          </cell>
          <cell r="AM126" t="str">
            <v>NSW CBAM Services</v>
          </cell>
          <cell r="BH126" t="str">
            <v>TANZANIA, UNITED REPUBLIC OF</v>
          </cell>
        </row>
        <row r="127">
          <cell r="D127" t="str">
            <v>OmniSwitch 6350</v>
          </cell>
          <cell r="AM127" t="str">
            <v>NSW CBAM Care</v>
          </cell>
          <cell r="BH127" t="str">
            <v>TOGO</v>
          </cell>
        </row>
        <row r="128">
          <cell r="D128" t="str">
            <v>OmniSwitch 6250</v>
          </cell>
          <cell r="AM128" t="str">
            <v>NSW CBIS SW</v>
          </cell>
          <cell r="BH128" t="str">
            <v>TONGA</v>
          </cell>
        </row>
        <row r="129">
          <cell r="D129" t="str">
            <v>OmniSwitch Optics</v>
          </cell>
          <cell r="AM129" t="str">
            <v>NSW CBIS SRS</v>
          </cell>
          <cell r="BH129" t="str">
            <v>TUNISIA</v>
          </cell>
        </row>
        <row r="130">
          <cell r="D130" t="str">
            <v>OmniSwitch Misc.</v>
          </cell>
          <cell r="AM130" t="str">
            <v>NSW CBIS OEM</v>
          </cell>
          <cell r="BH130" t="str">
            <v>TURKEY</v>
          </cell>
        </row>
        <row r="131">
          <cell r="D131" t="str">
            <v>OmniSwitch Care</v>
          </cell>
          <cell r="AM131" t="str">
            <v>NSW CBIS HW</v>
          </cell>
          <cell r="BH131" t="str">
            <v>TURKMENISTAN</v>
          </cell>
        </row>
        <row r="132">
          <cell r="D132" t="str">
            <v>Microsemi</v>
          </cell>
          <cell r="AM132" t="str">
            <v>NSW CBIS Services</v>
          </cell>
          <cell r="BH132" t="str">
            <v>UGANDA</v>
          </cell>
        </row>
        <row r="133">
          <cell r="D133" t="str">
            <v>Microsemi-Svcs</v>
          </cell>
          <cell r="AM133" t="str">
            <v>NSW CBIS Care</v>
          </cell>
          <cell r="BH133" t="str">
            <v>UKRAINE</v>
          </cell>
        </row>
        <row r="134">
          <cell r="D134" t="str">
            <v>Microsemi-Care</v>
          </cell>
          <cell r="AM134" t="str">
            <v>NSW APC Product</v>
          </cell>
          <cell r="BH134" t="str">
            <v>UNITED ARAB EMIRATES</v>
          </cell>
        </row>
        <row r="135">
          <cell r="D135" t="str">
            <v>Flexi-NG</v>
          </cell>
          <cell r="AM135" t="str">
            <v>NSW APC Care</v>
          </cell>
          <cell r="BH135" t="str">
            <v>UNITED KINGDOM</v>
          </cell>
        </row>
        <row r="136">
          <cell r="D136" t="str">
            <v>Flexi-NS</v>
          </cell>
          <cell r="BH136" t="str">
            <v>UZBEKISTAN</v>
          </cell>
        </row>
        <row r="137">
          <cell r="D137" t="str">
            <v>Flexi-OEM</v>
          </cell>
          <cell r="BH137" t="str">
            <v>VATICAN CITY</v>
          </cell>
        </row>
        <row r="138">
          <cell r="D138" t="str">
            <v>Flexi-OEM-Svcs</v>
          </cell>
          <cell r="BH138" t="str">
            <v>WESTERN SAHARA</v>
          </cell>
        </row>
        <row r="139">
          <cell r="D139" t="str">
            <v>Airframe</v>
          </cell>
          <cell r="BH139" t="str">
            <v>YEMEN</v>
          </cell>
        </row>
        <row r="140">
          <cell r="D140" t="str">
            <v>Airframe-WBX</v>
          </cell>
          <cell r="BH140" t="str">
            <v>YUGOSLAVIA</v>
          </cell>
        </row>
        <row r="141">
          <cell r="D141" t="str">
            <v>Airframe-CMG</v>
          </cell>
          <cell r="BH141" t="str">
            <v>ZAMBIA</v>
          </cell>
        </row>
        <row r="142">
          <cell r="D142" t="str">
            <v>Airframe-Server</v>
          </cell>
          <cell r="BH142" t="str">
            <v>ZIMBABWE</v>
          </cell>
        </row>
        <row r="143">
          <cell r="D143" t="str">
            <v>Airframe-NBD</v>
          </cell>
        </row>
        <row r="144">
          <cell r="D144" t="str">
            <v>Services</v>
          </cell>
          <cell r="BH144" t="str">
            <v>-- Asia Pacific --</v>
          </cell>
        </row>
        <row r="145">
          <cell r="D145" t="str">
            <v>I&amp;C</v>
          </cell>
          <cell r="BH145" t="str">
            <v>Australia</v>
          </cell>
        </row>
        <row r="146">
          <cell r="D146" t="str">
            <v>IPR Services</v>
          </cell>
          <cell r="BH146" t="str">
            <v>Bangladesh</v>
          </cell>
        </row>
        <row r="147">
          <cell r="D147" t="str">
            <v>IPR Integration</v>
          </cell>
          <cell r="BH147" t="str">
            <v>BOUVET ISLAND</v>
          </cell>
        </row>
        <row r="148">
          <cell r="D148" t="str">
            <v>IPR I&amp;C</v>
          </cell>
          <cell r="BH148" t="str">
            <v>Brunei</v>
          </cell>
        </row>
        <row r="149">
          <cell r="D149" t="str">
            <v>IPR On-shore Services</v>
          </cell>
          <cell r="BH149" t="str">
            <v>CAMBODIA</v>
          </cell>
        </row>
        <row r="150">
          <cell r="D150" t="str">
            <v>IPR Off-shore Services</v>
          </cell>
          <cell r="BH150" t="str">
            <v>CHRISTMAS ISLAND</v>
          </cell>
        </row>
        <row r="151">
          <cell r="D151" t="str">
            <v>PM &amp; TPM</v>
          </cell>
          <cell r="BH151" t="str">
            <v>COCOS (KEELING) ISLANDS</v>
          </cell>
        </row>
        <row r="152">
          <cell r="D152" t="str">
            <v>IPR 3rd Party Services</v>
          </cell>
          <cell r="BH152" t="str">
            <v>COOK ISLANDS</v>
          </cell>
        </row>
        <row r="153">
          <cell r="D153" t="str">
            <v>IPR 3rd Party I&amp;C</v>
          </cell>
          <cell r="BH153" t="str">
            <v>FALKLAND ISLANDS (MALVINAS)</v>
          </cell>
        </row>
        <row r="154">
          <cell r="D154" t="str">
            <v>MPC Services</v>
          </cell>
          <cell r="BH154" t="str">
            <v>FIJI</v>
          </cell>
        </row>
        <row r="155">
          <cell r="D155" t="str">
            <v>MPC Services OnShore</v>
          </cell>
          <cell r="BH155" t="str">
            <v>FRENCH POLYNESIA</v>
          </cell>
        </row>
        <row r="156">
          <cell r="D156" t="str">
            <v>MPC Services OffShore</v>
          </cell>
          <cell r="BH156" t="str">
            <v>Indonesia</v>
          </cell>
        </row>
        <row r="157">
          <cell r="D157" t="str">
            <v>NA Services</v>
          </cell>
          <cell r="BH157" t="str">
            <v>Japan</v>
          </cell>
        </row>
        <row r="158">
          <cell r="D158" t="str">
            <v>NA Services OnShore</v>
          </cell>
          <cell r="BH158" t="str">
            <v>KIRIBATI</v>
          </cell>
        </row>
        <row r="159">
          <cell r="D159" t="str">
            <v>NA Services OffShore</v>
          </cell>
          <cell r="BH159" t="str">
            <v>Korea</v>
          </cell>
        </row>
        <row r="160">
          <cell r="D160" t="str">
            <v>Nuage Deployment</v>
          </cell>
          <cell r="BH160" t="str">
            <v>LAO PEOPLE'S DEMOCRATIC REPUBLIC</v>
          </cell>
        </row>
        <row r="161">
          <cell r="D161" t="str">
            <v>Nuage Integration</v>
          </cell>
          <cell r="BH161" t="str">
            <v>MACAO</v>
          </cell>
        </row>
        <row r="162">
          <cell r="D162" t="str">
            <v>Nuage PM &amp; TPM</v>
          </cell>
          <cell r="BH162" t="str">
            <v>Malaysia</v>
          </cell>
        </row>
        <row r="163">
          <cell r="D163" t="str">
            <v>Nuage Services OnShore</v>
          </cell>
          <cell r="BH163" t="str">
            <v>MARSHALL ISLANDS</v>
          </cell>
        </row>
        <row r="164">
          <cell r="D164" t="str">
            <v>Nuage Services OffShore</v>
          </cell>
          <cell r="BH164" t="str">
            <v>MICRONESIA, FEDERATED STATES OF</v>
          </cell>
        </row>
        <row r="165">
          <cell r="D165" t="str">
            <v>Deepfield Services</v>
          </cell>
          <cell r="BH165" t="str">
            <v>MONGOLIA</v>
          </cell>
        </row>
        <row r="166">
          <cell r="D166" t="str">
            <v>Deepfield Services OnShore</v>
          </cell>
          <cell r="BH166" t="str">
            <v>MYANMAR</v>
          </cell>
        </row>
        <row r="167">
          <cell r="D167" t="str">
            <v>Deepfield Services OffShore</v>
          </cell>
          <cell r="BH167" t="str">
            <v>NAURU</v>
          </cell>
        </row>
        <row r="168">
          <cell r="D168" t="str">
            <v>Training</v>
          </cell>
          <cell r="BH168" t="str">
            <v>NEW CALEDONIA</v>
          </cell>
        </row>
        <row r="169">
          <cell r="D169" t="str">
            <v>Deepfield Training</v>
          </cell>
          <cell r="BH169" t="str">
            <v>New Zealand</v>
          </cell>
        </row>
        <row r="170">
          <cell r="D170" t="str">
            <v>IPR Training</v>
          </cell>
          <cell r="BH170" t="str">
            <v>NIUE</v>
          </cell>
        </row>
        <row r="171">
          <cell r="D171" t="str">
            <v>MPC Training</v>
          </cell>
          <cell r="BH171" t="str">
            <v>NORFOLK ISLAND</v>
          </cell>
        </row>
        <row r="172">
          <cell r="D172" t="str">
            <v>Nuage Training</v>
          </cell>
          <cell r="BH172" t="str">
            <v>NORTHERN MARIANA ISLANDS</v>
          </cell>
        </row>
        <row r="173">
          <cell r="D173" t="str">
            <v>Video Training</v>
          </cell>
          <cell r="BH173" t="str">
            <v>PALAU</v>
          </cell>
        </row>
        <row r="174">
          <cell r="D174" t="str">
            <v>Certifications</v>
          </cell>
          <cell r="BH174" t="str">
            <v>PAPUA NEW GUINEA</v>
          </cell>
        </row>
        <row r="175">
          <cell r="D175" t="str">
            <v>Care</v>
          </cell>
          <cell r="BH175" t="str">
            <v>PHILIPPINES</v>
          </cell>
        </row>
        <row r="176">
          <cell r="D176" t="str">
            <v>Care RTS</v>
          </cell>
          <cell r="BH176" t="str">
            <v>PITCAIRN</v>
          </cell>
        </row>
        <row r="177">
          <cell r="D177" t="str">
            <v>Care RES</v>
          </cell>
          <cell r="BH177" t="str">
            <v>SAINT HELENA</v>
          </cell>
        </row>
        <row r="178">
          <cell r="D178" t="str">
            <v>Care On-shore</v>
          </cell>
          <cell r="BH178" t="str">
            <v>SAMOA</v>
          </cell>
        </row>
        <row r="179">
          <cell r="D179" t="str">
            <v>Care Off-shore</v>
          </cell>
          <cell r="BH179" t="str">
            <v>Singapore</v>
          </cell>
        </row>
        <row r="180">
          <cell r="D180" t="str">
            <v>Care OEM</v>
          </cell>
          <cell r="BH180" t="str">
            <v>SOLOMON ISLANDS</v>
          </cell>
        </row>
        <row r="181">
          <cell r="D181" t="str">
            <v>Care Field Services</v>
          </cell>
          <cell r="BH181" t="str">
            <v>SOUTH GEORGIA AND THE SOUTH SANDWICH ISLANDS</v>
          </cell>
        </row>
        <row r="182">
          <cell r="D182" t="str">
            <v>MPC Care</v>
          </cell>
          <cell r="BH182" t="str">
            <v>Taiwan</v>
          </cell>
        </row>
        <row r="183">
          <cell r="D183" t="str">
            <v>MPC Care OnShore</v>
          </cell>
          <cell r="BH183" t="str">
            <v>Thailand</v>
          </cell>
        </row>
        <row r="184">
          <cell r="D184" t="str">
            <v>MPC Care OffShore</v>
          </cell>
          <cell r="BH184" t="str">
            <v>TIMOR-LESTE</v>
          </cell>
        </row>
        <row r="185">
          <cell r="D185" t="str">
            <v>NA Care</v>
          </cell>
          <cell r="BH185" t="str">
            <v>TOKELAU</v>
          </cell>
        </row>
        <row r="186">
          <cell r="D186" t="str">
            <v>NA Care OnShore</v>
          </cell>
          <cell r="BH186" t="str">
            <v>TUVALU</v>
          </cell>
        </row>
        <row r="187">
          <cell r="D187" t="str">
            <v>NA Care OffShore</v>
          </cell>
          <cell r="BH187" t="str">
            <v>VANUATU</v>
          </cell>
        </row>
        <row r="188">
          <cell r="D188" t="str">
            <v>Nuage Care</v>
          </cell>
          <cell r="BH188" t="str">
            <v>VIETNAM</v>
          </cell>
        </row>
        <row r="189">
          <cell r="D189" t="str">
            <v>Nuage Care OnShore</v>
          </cell>
          <cell r="BH189" t="str">
            <v>WALLIS AND FUTUNA</v>
          </cell>
        </row>
        <row r="190">
          <cell r="D190" t="str">
            <v>Nuage Care OffShore</v>
          </cell>
        </row>
        <row r="191">
          <cell r="D191" t="str">
            <v>Deepfield Care</v>
          </cell>
          <cell r="BH191" t="str">
            <v>-- Caribbean and Latin America --</v>
          </cell>
        </row>
        <row r="192">
          <cell r="D192" t="str">
            <v>Deepfield Care OnShore</v>
          </cell>
          <cell r="BH192" t="str">
            <v>ANGUILLA</v>
          </cell>
        </row>
        <row r="193">
          <cell r="D193" t="str">
            <v>Deepfield Care OffShore</v>
          </cell>
          <cell r="BH193" t="str">
            <v>ANTARCTICA</v>
          </cell>
        </row>
        <row r="194">
          <cell r="D194" t="str">
            <v>AirFrame Care</v>
          </cell>
          <cell r="BH194" t="str">
            <v>ANTIGUA AND BARBUDA</v>
          </cell>
        </row>
        <row r="195">
          <cell r="D195" t="str">
            <v>AirFrame Care OnShore</v>
          </cell>
          <cell r="BH195" t="str">
            <v>ARGENTINA</v>
          </cell>
        </row>
        <row r="196">
          <cell r="D196" t="str">
            <v>AirFrame Care OffShore</v>
          </cell>
          <cell r="BH196" t="str">
            <v>ARUBA</v>
          </cell>
        </row>
        <row r="197">
          <cell r="D197" t="str">
            <v>Video Deployment</v>
          </cell>
          <cell r="BH197" t="str">
            <v>BAHAMAS</v>
          </cell>
        </row>
        <row r="198">
          <cell r="D198" t="str">
            <v>Video Integration</v>
          </cell>
          <cell r="BH198" t="str">
            <v>BARBADOS</v>
          </cell>
        </row>
        <row r="199">
          <cell r="D199" t="str">
            <v>Video Training</v>
          </cell>
          <cell r="BH199" t="str">
            <v>BELIZE</v>
          </cell>
        </row>
        <row r="200">
          <cell r="D200" t="str">
            <v>Video Managed Services</v>
          </cell>
          <cell r="BH200" t="str">
            <v>BERMUDA</v>
          </cell>
        </row>
        <row r="201">
          <cell r="D201" t="str">
            <v>Video Professional Services</v>
          </cell>
          <cell r="BH201" t="str">
            <v>BOLIVIA</v>
          </cell>
        </row>
        <row r="202">
          <cell r="D202" t="str">
            <v>Video PM &amp; TPM</v>
          </cell>
          <cell r="BH202" t="str">
            <v>BRAZIL</v>
          </cell>
        </row>
        <row r="203">
          <cell r="D203" t="str">
            <v>Video OEM Services</v>
          </cell>
          <cell r="BH203" t="str">
            <v>CAYMAN ISLANDS</v>
          </cell>
        </row>
        <row r="204">
          <cell r="D204" t="str">
            <v>Video Services OnShore</v>
          </cell>
          <cell r="BH204" t="str">
            <v>CHILE</v>
          </cell>
        </row>
        <row r="205">
          <cell r="D205" t="str">
            <v>Video Services OffShore</v>
          </cell>
          <cell r="BH205" t="str">
            <v>COLOMBIA</v>
          </cell>
        </row>
        <row r="206">
          <cell r="D206" t="str">
            <v>Video Care</v>
          </cell>
          <cell r="BH206" t="str">
            <v>COSTA RICA</v>
          </cell>
        </row>
        <row r="207">
          <cell r="D207" t="str">
            <v>Video Care OnShore</v>
          </cell>
          <cell r="BH207" t="str">
            <v>DOMINICA</v>
          </cell>
        </row>
        <row r="208">
          <cell r="D208" t="str">
            <v>Video Care OffShore</v>
          </cell>
          <cell r="BH208" t="str">
            <v>DOMINICAN REPUBLIC</v>
          </cell>
        </row>
        <row r="209">
          <cell r="D209" t="str">
            <v>Integration</v>
          </cell>
          <cell r="BH209" t="str">
            <v>ECUADOR</v>
          </cell>
        </row>
        <row r="210">
          <cell r="D210" t="str">
            <v>PM</v>
          </cell>
          <cell r="BH210" t="str">
            <v>EL SALVADOR</v>
          </cell>
        </row>
        <row r="211">
          <cell r="D211" t="str">
            <v>TPM</v>
          </cell>
          <cell r="BH211" t="str">
            <v>FRENCH GUIANA</v>
          </cell>
        </row>
        <row r="212">
          <cell r="D212" t="str">
            <v>Extended Warranty</v>
          </cell>
          <cell r="BH212" t="str">
            <v>FRENCH SOUTHERN TERRITORIES</v>
          </cell>
        </row>
        <row r="213">
          <cell r="D213" t="str">
            <v>IPD 7705 Extended Warranty</v>
          </cell>
          <cell r="BH213" t="str">
            <v>GRENADA</v>
          </cell>
        </row>
        <row r="214">
          <cell r="D214" t="str">
            <v>IPD IP Extended Warranty</v>
          </cell>
          <cell r="BH214" t="str">
            <v>GUADELOUPE</v>
          </cell>
        </row>
        <row r="215">
          <cell r="D215" t="str">
            <v>IPD NSM Extended Warranty</v>
          </cell>
          <cell r="BH215" t="str">
            <v>GUATEMALA</v>
          </cell>
        </row>
        <row r="216">
          <cell r="D216" t="str">
            <v>Nuage TPM</v>
          </cell>
          <cell r="BH216" t="str">
            <v>GUYANA</v>
          </cell>
        </row>
        <row r="217">
          <cell r="D217" t="str">
            <v>Nuage PM</v>
          </cell>
          <cell r="BH217" t="str">
            <v>HAITI</v>
          </cell>
        </row>
        <row r="218">
          <cell r="D218" t="str">
            <v>Nuage Care RTS</v>
          </cell>
          <cell r="BH218" t="str">
            <v>HONDURAS</v>
          </cell>
        </row>
        <row r="219">
          <cell r="D219" t="str">
            <v>Nuage Care RES</v>
          </cell>
          <cell r="BH219" t="str">
            <v>JAMAICA</v>
          </cell>
        </row>
        <row r="220">
          <cell r="D220" t="str">
            <v>Deepfield PS</v>
          </cell>
          <cell r="BH220" t="str">
            <v>MARTINIQUE</v>
          </cell>
        </row>
        <row r="221">
          <cell r="D221" t="str">
            <v>Video Services</v>
          </cell>
          <cell r="BH221" t="str">
            <v>MEXICO</v>
          </cell>
        </row>
        <row r="222">
          <cell r="D222" t="str">
            <v>MiView Services</v>
          </cell>
          <cell r="BH222" t="str">
            <v>MONTSERRAT</v>
          </cell>
        </row>
        <row r="223">
          <cell r="D223" t="str">
            <v>Video 3rd Party Services</v>
          </cell>
          <cell r="BH223" t="str">
            <v>NETHERLANDS ANTILLES</v>
          </cell>
        </row>
        <row r="224">
          <cell r="D224" t="str">
            <v>Video OEM Care</v>
          </cell>
          <cell r="BH224" t="str">
            <v>NICARAGUA</v>
          </cell>
        </row>
        <row r="225">
          <cell r="D225" t="str">
            <v>NSW CBND SW</v>
          </cell>
          <cell r="BH225" t="str">
            <v>PANAMA</v>
          </cell>
        </row>
        <row r="226">
          <cell r="D226" t="str">
            <v>NSW CBND SRS</v>
          </cell>
          <cell r="BH226" t="str">
            <v>PARAGUAY</v>
          </cell>
        </row>
        <row r="227">
          <cell r="D227" t="str">
            <v>NSW CBND Services</v>
          </cell>
          <cell r="BH227" t="str">
            <v>PERU</v>
          </cell>
        </row>
        <row r="228">
          <cell r="D228" t="str">
            <v>NSW CBND Care</v>
          </cell>
          <cell r="BH228" t="str">
            <v>SAINT BARTHELEMY</v>
          </cell>
        </row>
        <row r="229">
          <cell r="D229" t="str">
            <v>NSW CBAM SW</v>
          </cell>
          <cell r="BH229" t="str">
            <v>SAINT KITTS AND NEVIS</v>
          </cell>
        </row>
        <row r="230">
          <cell r="D230" t="str">
            <v>NSW CBAM SRS</v>
          </cell>
          <cell r="BH230" t="str">
            <v>SAINT LUCIA</v>
          </cell>
        </row>
        <row r="231">
          <cell r="D231" t="str">
            <v>NSW CBAM Services</v>
          </cell>
          <cell r="BH231" t="str">
            <v>SAINT MARTIN</v>
          </cell>
        </row>
        <row r="232">
          <cell r="D232" t="str">
            <v>NSW CBAM Care</v>
          </cell>
          <cell r="BH232" t="str">
            <v>SAINT VINCENT AND THE GRENADINES</v>
          </cell>
        </row>
        <row r="233">
          <cell r="D233" t="str">
            <v>NSW CBIS SW</v>
          </cell>
          <cell r="BH233" t="str">
            <v>SURINAME</v>
          </cell>
        </row>
        <row r="234">
          <cell r="D234" t="str">
            <v>NSW CBIS SRS</v>
          </cell>
          <cell r="BH234" t="str">
            <v>TRINIDAD AND TOBAGO</v>
          </cell>
        </row>
        <row r="235">
          <cell r="D235" t="str">
            <v>NSW CBIS OEM</v>
          </cell>
          <cell r="BH235" t="str">
            <v>TURKS AND CAICOS ISLANDS</v>
          </cell>
        </row>
        <row r="236">
          <cell r="D236" t="str">
            <v>NSW CBIS HW</v>
          </cell>
          <cell r="BH236" t="str">
            <v>URUGUAY</v>
          </cell>
        </row>
        <row r="237">
          <cell r="D237" t="str">
            <v>NSW CBIS Services</v>
          </cell>
          <cell r="BH237" t="str">
            <v>VENEZUELA</v>
          </cell>
        </row>
        <row r="238">
          <cell r="D238" t="str">
            <v>NSW CBIS Care</v>
          </cell>
          <cell r="BH238" t="str">
            <v>VIRGIN ISLANDS, BRITISH</v>
          </cell>
        </row>
        <row r="239">
          <cell r="D239" t="str">
            <v>NSW APC</v>
          </cell>
          <cell r="BH239" t="str">
            <v>VIRGIN ISLANDS, U.S.</v>
          </cell>
        </row>
        <row r="240">
          <cell r="D240" t="str">
            <v>NSW APC Care</v>
          </cell>
        </row>
        <row r="241">
          <cell r="BH241" t="str">
            <v>-- China --</v>
          </cell>
        </row>
        <row r="242">
          <cell r="BH242" t="str">
            <v>CHINA</v>
          </cell>
        </row>
        <row r="243">
          <cell r="BH243" t="str">
            <v>HONG KONG</v>
          </cell>
        </row>
        <row r="245">
          <cell r="BH245" t="str">
            <v>-- India --</v>
          </cell>
        </row>
        <row r="246">
          <cell r="BH246" t="str">
            <v>BHUTAN</v>
          </cell>
        </row>
        <row r="247">
          <cell r="BH247" t="str">
            <v>BRITISH INDIAN OCEAN TERRITORY</v>
          </cell>
        </row>
        <row r="248">
          <cell r="BH248" t="str">
            <v>India</v>
          </cell>
        </row>
        <row r="249">
          <cell r="BH249" t="str">
            <v>MALDIVES</v>
          </cell>
        </row>
        <row r="250">
          <cell r="BH250" t="str">
            <v>NEPAL</v>
          </cell>
        </row>
        <row r="251">
          <cell r="BH251" t="str">
            <v>SEYCHELLES</v>
          </cell>
        </row>
        <row r="252">
          <cell r="BH252" t="str">
            <v>SRI LANKA</v>
          </cell>
        </row>
        <row r="254">
          <cell r="BH254" t="str">
            <v>-- North America --</v>
          </cell>
        </row>
        <row r="255">
          <cell r="BH255" t="str">
            <v>AMERICAN SAMOA</v>
          </cell>
        </row>
        <row r="256">
          <cell r="BH256" t="str">
            <v>CANADA</v>
          </cell>
        </row>
        <row r="257">
          <cell r="BH257" t="str">
            <v>GUAM</v>
          </cell>
        </row>
        <row r="258">
          <cell r="BH258" t="str">
            <v>PUERTO RICO</v>
          </cell>
        </row>
        <row r="259">
          <cell r="BH259" t="str">
            <v>SAINT PIERRE AND MIQUELON</v>
          </cell>
        </row>
        <row r="260">
          <cell r="BH260" t="str">
            <v>UNITED STATES</v>
          </cell>
        </row>
        <row r="261">
          <cell r="BH261" t="str">
            <v>UNITED STATES MINOR OUTLYING ISLANDS</v>
          </cell>
        </row>
      </sheetData>
      <sheetData sheetId="16"/>
      <sheetData sheetId="17">
        <row r="2">
          <cell r="A2" t="str">
            <v>&lt;Select a Product to Scroll&gt;</v>
          </cell>
        </row>
        <row r="3">
          <cell r="A3" t="str">
            <v>--- 7750 SR ---</v>
          </cell>
        </row>
        <row r="4">
          <cell r="A4" t="str">
            <v>7750 SR - 1/7/12/12e Chassis</v>
          </cell>
        </row>
        <row r="5">
          <cell r="A5" t="str">
            <v>7750 SR - SW</v>
          </cell>
        </row>
        <row r="6">
          <cell r="A6" t="str">
            <v>7750 SR - Interfaces</v>
          </cell>
        </row>
        <row r="7">
          <cell r="A7" t="str">
            <v>7750 SR - Accessories</v>
          </cell>
        </row>
        <row r="8">
          <cell r="A8" t="str">
            <v>7750 SR - MG</v>
          </cell>
        </row>
        <row r="9">
          <cell r="A9" t="str">
            <v>--- 7750 SR-e ---</v>
          </cell>
        </row>
        <row r="10">
          <cell r="A10" t="str">
            <v>7750 SR-e - 1/2/3e Chassis</v>
          </cell>
        </row>
        <row r="11">
          <cell r="A11" t="str">
            <v>7750 SR-e - Interfaces</v>
          </cell>
        </row>
        <row r="12">
          <cell r="A12" t="str">
            <v>--- 7750 SR-a ---</v>
          </cell>
        </row>
        <row r="13">
          <cell r="A13" t="str">
            <v>7750 SR-a - Chassis</v>
          </cell>
        </row>
        <row r="14">
          <cell r="A14" t="str">
            <v>7750 SR-a - Interfaces</v>
          </cell>
        </row>
        <row r="15">
          <cell r="A15" t="str">
            <v>--- 7750 SR-s ---</v>
          </cell>
        </row>
        <row r="16">
          <cell r="A16" t="str">
            <v>7750 SR-s - 1s Chassis</v>
          </cell>
        </row>
        <row r="17">
          <cell r="A17" t="str">
            <v>7750 SR-s - 1s Modular</v>
          </cell>
        </row>
        <row r="18">
          <cell r="A18" t="str">
            <v>7750 SR-s - 2/7/14s Chassis</v>
          </cell>
        </row>
        <row r="19">
          <cell r="A19" t="str">
            <v>7750 SR-s - Software</v>
          </cell>
        </row>
        <row r="20">
          <cell r="A20" t="str">
            <v>7750 SR-s - Interfaces</v>
          </cell>
        </row>
        <row r="21">
          <cell r="A21" t="str">
            <v>7750 SR-s - Accessories</v>
          </cell>
        </row>
        <row r="22">
          <cell r="A22" t="str">
            <v>--- 7450 ESS ---</v>
          </cell>
        </row>
        <row r="23">
          <cell r="A23" t="str">
            <v>7450 ESS - Chassis</v>
          </cell>
        </row>
        <row r="24">
          <cell r="A24" t="str">
            <v>7450 ESS - Accessories</v>
          </cell>
        </row>
        <row r="25">
          <cell r="A25" t="str">
            <v>--- 7950 XRS ---</v>
          </cell>
        </row>
        <row r="26">
          <cell r="A26" t="str">
            <v>7950 XRS - Chassis</v>
          </cell>
        </row>
        <row r="27">
          <cell r="A27" t="str">
            <v>7950 XRS - SW</v>
          </cell>
        </row>
        <row r="28">
          <cell r="A28" t="str">
            <v>7950 XRS - Interfaces</v>
          </cell>
        </row>
        <row r="29">
          <cell r="A29" t="str">
            <v>--- 7705 SAR ---</v>
          </cell>
        </row>
        <row r="30">
          <cell r="A30" t="str">
            <v>7705 SAR - OS SW</v>
          </cell>
        </row>
        <row r="31">
          <cell r="A31" t="str">
            <v>7705 SAR-8/18</v>
          </cell>
        </row>
        <row r="32">
          <cell r="A32" t="str">
            <v>7705 SAR-A/Ax</v>
          </cell>
        </row>
        <row r="33">
          <cell r="A33" t="str">
            <v>7705 SAR-H/Hc/Hm</v>
          </cell>
        </row>
        <row r="34">
          <cell r="A34" t="str">
            <v>7705 SAR-M</v>
          </cell>
        </row>
        <row r="35">
          <cell r="A35" t="str">
            <v>7705 SAR-W/Wx</v>
          </cell>
        </row>
        <row r="36">
          <cell r="A36" t="str">
            <v>7750 SAR-X</v>
          </cell>
        </row>
        <row r="37">
          <cell r="A37" t="str">
            <v>7705 SAR - Accessories</v>
          </cell>
        </row>
        <row r="38">
          <cell r="A38" t="str">
            <v>7705 SAR - SW</v>
          </cell>
        </row>
        <row r="39">
          <cell r="A39" t="str">
            <v>7705 SAR-O</v>
          </cell>
        </row>
        <row r="40">
          <cell r="A40" t="str">
            <v>--- 7210 SAS ---</v>
          </cell>
        </row>
        <row r="41">
          <cell r="A41" t="str">
            <v>7210 SAS-D</v>
          </cell>
        </row>
        <row r="42">
          <cell r="A42" t="str">
            <v>7210 SAS-Dxp</v>
          </cell>
        </row>
        <row r="43">
          <cell r="A43" t="str">
            <v>7210 SAS-K</v>
          </cell>
        </row>
        <row r="44">
          <cell r="A44" t="str">
            <v>7210 SAS-M</v>
          </cell>
        </row>
        <row r="45">
          <cell r="A45" t="str">
            <v>7210 SAS-Mxp</v>
          </cell>
        </row>
        <row r="46">
          <cell r="A46" t="str">
            <v>7210 SAS-T</v>
          </cell>
        </row>
        <row r="47">
          <cell r="A47" t="str">
            <v>7210 SAS-S/Sx</v>
          </cell>
        </row>
        <row r="48">
          <cell r="A48" t="str">
            <v>7210 SAS-R</v>
          </cell>
        </row>
        <row r="49">
          <cell r="A49" t="str">
            <v>7210 SAS - Outdoor Cabinet</v>
          </cell>
        </row>
        <row r="50">
          <cell r="A50" t="str">
            <v>7210 SAS -  Accessories</v>
          </cell>
        </row>
        <row r="51">
          <cell r="A51" t="str">
            <v>--- 7220 IXR ---</v>
          </cell>
        </row>
        <row r="52">
          <cell r="A52" t="str">
            <v>7220 IXR-D</v>
          </cell>
        </row>
        <row r="53">
          <cell r="A53" t="str">
            <v>7220 IXR-H</v>
          </cell>
        </row>
        <row r="54">
          <cell r="A54" t="str">
            <v>7220 SR Linux</v>
          </cell>
        </row>
        <row r="55">
          <cell r="A55" t="str">
            <v>--- 7250 IXR ---</v>
          </cell>
        </row>
        <row r="56">
          <cell r="A56" t="str">
            <v>7250 IXR-X</v>
          </cell>
        </row>
        <row r="57">
          <cell r="A57" t="str">
            <v>7250 IXR-s</v>
          </cell>
        </row>
        <row r="58">
          <cell r="A58" t="str">
            <v>7250 IXR-e</v>
          </cell>
        </row>
        <row r="59">
          <cell r="A59" t="str">
            <v>7250 IXR-6/10</v>
          </cell>
        </row>
        <row r="60">
          <cell r="A60" t="str">
            <v>720 IXR-6/10 GEN2</v>
          </cell>
        </row>
        <row r="61">
          <cell r="A61" t="str">
            <v>7210 IXR-R4/6</v>
          </cell>
        </row>
        <row r="62">
          <cell r="A62" t="str">
            <v>--- Optics ---</v>
          </cell>
        </row>
        <row r="63">
          <cell r="A63" t="str">
            <v>Sync &amp; GPS</v>
          </cell>
        </row>
        <row r="64">
          <cell r="A64" t="str">
            <v xml:space="preserve">Protection
</v>
          </cell>
        </row>
        <row r="65">
          <cell r="A65" t="str">
            <v>100M</v>
          </cell>
        </row>
        <row r="66">
          <cell r="A66" t="str">
            <v>1GE (SFP, cSFP)</v>
          </cell>
        </row>
        <row r="67">
          <cell r="A67" t="str">
            <v>cSFP</v>
          </cell>
        </row>
        <row r="68">
          <cell r="A68" t="str">
            <v>10GE (XFP, SFP+)</v>
          </cell>
        </row>
        <row r="69">
          <cell r="A69" t="str">
            <v>25G (SFP28)</v>
          </cell>
        </row>
        <row r="70">
          <cell r="A70" t="str">
            <v>40G (QSFP+)</v>
          </cell>
        </row>
        <row r="71">
          <cell r="A71" t="str">
            <v>100G (CXP, CFP)</v>
          </cell>
        </row>
        <row r="72">
          <cell r="A72" t="str">
            <v>100G (QSFP28)</v>
          </cell>
        </row>
        <row r="73">
          <cell r="A73" t="str">
            <v>100G (SFP-DD)</v>
          </cell>
        </row>
        <row r="74">
          <cell r="A74" t="str">
            <v>nx10GE (QSFP breakout)</v>
          </cell>
        </row>
        <row r="75">
          <cell r="A75" t="str">
            <v>400G (CFP8, QSFP56-DD)</v>
          </cell>
        </row>
        <row r="76">
          <cell r="A76" t="str">
            <v>SONET</v>
          </cell>
        </row>
        <row r="77">
          <cell r="A77" t="str">
            <v>--- VSR ---</v>
          </cell>
        </row>
        <row r="78">
          <cell r="A78" t="str">
            <v>VSR SW</v>
          </cell>
        </row>
        <row r="79">
          <cell r="A79" t="str">
            <v>VSR-a</v>
          </cell>
        </row>
        <row r="80">
          <cell r="A80" t="str">
            <v>--- Packet Core ---</v>
          </cell>
        </row>
        <row r="81">
          <cell r="A81" t="str">
            <v>CMG Perpetual</v>
          </cell>
        </row>
        <row r="82">
          <cell r="A82" t="str">
            <v>CMG Term</v>
          </cell>
        </row>
        <row r="83">
          <cell r="A83" t="str">
            <v>CMM Perpetual</v>
          </cell>
        </row>
        <row r="84">
          <cell r="A84" t="str">
            <v>CMM Term</v>
          </cell>
        </row>
        <row r="85">
          <cell r="A85" t="str">
            <v>CMx Appliances</v>
          </cell>
        </row>
        <row r="86">
          <cell r="A86" t="str">
            <v>CMU</v>
          </cell>
        </row>
        <row r="87">
          <cell r="A87" t="str">
            <v>--- Nuage ---</v>
          </cell>
        </row>
        <row r="88">
          <cell r="A88" t="str">
            <v>--- Nuage VSP ---</v>
          </cell>
        </row>
        <row r="89">
          <cell r="A89" t="str">
            <v>VSD/VSC Perpetual</v>
          </cell>
        </row>
        <row r="90">
          <cell r="A90" t="str">
            <v>VRS Perpetual</v>
          </cell>
        </row>
        <row r="91">
          <cell r="A91" t="str">
            <v>VSD/VSC Term</v>
          </cell>
        </row>
        <row r="92">
          <cell r="A92" t="str">
            <v>VRS Term</v>
          </cell>
        </row>
        <row r="93">
          <cell r="A93" t="str">
            <v>210 WBX</v>
          </cell>
        </row>
        <row r="94">
          <cell r="A94" t="str">
            <v>--- Nuage VNS ---</v>
          </cell>
        </row>
        <row r="95">
          <cell r="A95" t="str">
            <v>NSG-C</v>
          </cell>
        </row>
        <row r="96">
          <cell r="A96" t="str">
            <v>NSG-E</v>
          </cell>
        </row>
        <row r="97">
          <cell r="A97" t="str">
            <v>NSG-X</v>
          </cell>
        </row>
        <row r="98">
          <cell r="A98" t="str">
            <v>NSG SW Perpetual</v>
          </cell>
        </row>
        <row r="99">
          <cell r="A99" t="str">
            <v>NSG SW Term</v>
          </cell>
        </row>
        <row r="100">
          <cell r="A100" t="str">
            <v>White Label</v>
          </cell>
        </row>
        <row r="101">
          <cell r="A101" t="str">
            <v>VSS Perpetual</v>
          </cell>
        </row>
        <row r="102">
          <cell r="A102" t="str">
            <v>VSS Term</v>
          </cell>
        </row>
        <row r="103">
          <cell r="A103" t="str">
            <v>---- Network Intelligence ----</v>
          </cell>
        </row>
        <row r="104">
          <cell r="A104" t="str">
            <v>Deepfield</v>
          </cell>
        </row>
        <row r="105">
          <cell r="A105" t="str">
            <v>---- NSM ----</v>
          </cell>
        </row>
        <row r="106">
          <cell r="A106" t="str">
            <v>NSW HW</v>
          </cell>
        </row>
        <row r="107">
          <cell r="A107" t="str">
            <v>NSP Appliance</v>
          </cell>
        </row>
        <row r="108">
          <cell r="A108" t="str">
            <v>NSP 20</v>
          </cell>
        </row>
        <row r="109">
          <cell r="A109" t="str">
            <v>NSP &lt;20</v>
          </cell>
        </row>
        <row r="110">
          <cell r="A110" t="str">
            <v>VNO</v>
          </cell>
        </row>
        <row r="111">
          <cell r="A111" t="str">
            <v>--- Services ---</v>
          </cell>
        </row>
        <row r="112">
          <cell r="A112" t="str">
            <v>Services</v>
          </cell>
        </row>
        <row r="113">
          <cell r="A113" t="str">
            <v>--- Video ---</v>
          </cell>
        </row>
        <row r="114">
          <cell r="A114" t="str">
            <v>VBO</v>
          </cell>
        </row>
        <row r="115">
          <cell r="A115" t="str">
            <v>--- Omniswitch ---</v>
          </cell>
        </row>
        <row r="116">
          <cell r="A116" t="str">
            <v>Omniswitch</v>
          </cell>
        </row>
        <row r="117">
          <cell r="A117" t="str">
            <v>--- Microsemi ---</v>
          </cell>
        </row>
        <row r="118">
          <cell r="A118" t="str">
            <v>Microsemi</v>
          </cell>
        </row>
        <row r="119">
          <cell r="A119" t="str">
            <v>--- Flexi ---</v>
          </cell>
        </row>
        <row r="120">
          <cell r="A120" t="str">
            <v>Flexi-NG</v>
          </cell>
        </row>
        <row r="121">
          <cell r="A121" t="str">
            <v>Flexi-NS</v>
          </cell>
        </row>
        <row r="122">
          <cell r="A122" t="str">
            <v>Flexi-OEM</v>
          </cell>
        </row>
        <row r="123">
          <cell r="A123" t="str">
            <v>--- Old-Items ---</v>
          </cell>
        </row>
        <row r="124">
          <cell r="A124" t="str">
            <v>Old-Items</v>
          </cell>
        </row>
      </sheetData>
      <sheetData sheetId="18">
        <row r="1">
          <cell r="E1" t="str">
            <v>NAR</v>
          </cell>
          <cell r="F1" t="str">
            <v>CALA</v>
          </cell>
          <cell r="G1" t="str">
            <v>EUROPE</v>
          </cell>
          <cell r="H1" t="str">
            <v>MEA</v>
          </cell>
          <cell r="I1" t="str">
            <v>APJ-A</v>
          </cell>
          <cell r="J1" t="str">
            <v>APJ-B</v>
          </cell>
          <cell r="K1" t="str">
            <v>APJ-C</v>
          </cell>
          <cell r="AW1" t="str">
            <v>APJ-GPP 3.0 / SPAAP / Global Alliance</v>
          </cell>
          <cell r="AX1" t="str">
            <v>APJ-GPP 1.0 CPA</v>
          </cell>
          <cell r="AY1" t="str">
            <v>APJ- ALE International SAS: custom GPP 1.0 CPA</v>
          </cell>
          <cell r="AZ1" t="str">
            <v>Europe-GPP 3.0 / SPAAP / Global Alliance</v>
          </cell>
          <cell r="BA1" t="str">
            <v>Europe-GPP 1.0 CPA</v>
          </cell>
          <cell r="BB1" t="str">
            <v>Europe- ALE International SAS: custom GPP 1.0 CPA</v>
          </cell>
          <cell r="BC1" t="str">
            <v>MEA-GPP 3.0 / SPAAP / Global Alliance</v>
          </cell>
          <cell r="BD1" t="str">
            <v>MEA-GPP 1.0 CPA</v>
          </cell>
          <cell r="BE1" t="str">
            <v>MEA- ALE International SAS: custom GPP 1.0 CPA</v>
          </cell>
          <cell r="BF1" t="str">
            <v>LATAM-GPP 3.0 / SPAAP / Global Alliance</v>
          </cell>
          <cell r="BG1" t="str">
            <v>LATAM-GPP 1.0 CPA</v>
          </cell>
          <cell r="BH1" t="str">
            <v>LATAM- ALE International SAS: custom GPP 1.0 CPA</v>
          </cell>
          <cell r="BI1" t="str">
            <v>NAM-GPP 3.0 / SPAAP / Global Alliance</v>
          </cell>
          <cell r="BJ1" t="str">
            <v>NAM- ALE International SAS: custom GPP 1.0 CPA</v>
          </cell>
          <cell r="BK1" t="str">
            <v>SSP</v>
          </cell>
          <cell r="BL1" t="str">
            <v>SSP Baseline</v>
          </cell>
          <cell r="BM1" t="str">
            <v>NAR_STD_TS_GLD_RFE</v>
          </cell>
          <cell r="BN1" t="str">
            <v>NAR_STD_TS_GLD_RFE_FY</v>
          </cell>
          <cell r="BO1" t="str">
            <v>NAR_STD_TS_BZE_RFE</v>
          </cell>
          <cell r="BP1" t="str">
            <v>NAR_STD_TS_BZE_RFE_FY</v>
          </cell>
          <cell r="BQ1" t="str">
            <v>NAR_STD_TS_GLD_RFE_PPA3</v>
          </cell>
          <cell r="BR1" t="str">
            <v>NAR_STD_TS_GLD_RFE_FY_PPA3</v>
          </cell>
          <cell r="BS1" t="str">
            <v>NAR_STD_TS_BZE_RFE_PPA3</v>
          </cell>
          <cell r="BT1" t="str">
            <v>NAR_STD_TS_BZE_RFE_FY_PPA3</v>
          </cell>
          <cell r="BU1" t="str">
            <v>NAR_NBOS_TS_RFE</v>
          </cell>
          <cell r="BV1" t="str">
            <v>NAR_NBOS_TS_RFE_FY</v>
          </cell>
          <cell r="BW1" t="str">
            <v>NAR_NBOS_TS_RFR</v>
          </cell>
          <cell r="BX1" t="str">
            <v>NAR_NBOS_TS_RFR_FY</v>
          </cell>
          <cell r="BY1" t="str">
            <v>NAR_NBOS_TS_AE</v>
          </cell>
          <cell r="BZ1" t="str">
            <v>NAR_NBOS_TS_AE_FY</v>
          </cell>
          <cell r="CA1" t="str">
            <v>NAR_CO_TS_RFE</v>
          </cell>
          <cell r="CB1" t="str">
            <v>NAR_CO_TS_RFE_FY</v>
          </cell>
          <cell r="CC1" t="str">
            <v>NAR_CO_TS_RFR</v>
          </cell>
          <cell r="CD1" t="str">
            <v>NAR_CO_TS_RFR_FY</v>
          </cell>
          <cell r="CE1" t="str">
            <v>NAR_PL_TS_RFE</v>
          </cell>
          <cell r="CF1" t="str">
            <v>NAR_PL_TS_RFE_FY</v>
          </cell>
          <cell r="CG1" t="str">
            <v>NAR_PL_TS_RFR</v>
          </cell>
          <cell r="CH1" t="str">
            <v>NAR_PL_TS_RFR_FY</v>
          </cell>
          <cell r="CI1" t="str">
            <v>CALA_STD_TS_GLD_RFE</v>
          </cell>
          <cell r="CJ1" t="str">
            <v>CALA_STD_TS_GLD_RFE_FY</v>
          </cell>
          <cell r="CK1" t="str">
            <v>CALA_STD_TS_BZE_RFE</v>
          </cell>
          <cell r="CL1" t="str">
            <v>CALA_STD_TS_BZE_RFE_FY</v>
          </cell>
          <cell r="CM1" t="str">
            <v>CALA_STD_TS_GLD_RFE_PPA3</v>
          </cell>
          <cell r="CN1" t="str">
            <v>CALA_STD_TS_GLD_RFE_FY_PPA3</v>
          </cell>
          <cell r="CO1" t="str">
            <v>CALA_STD_TS_BZE_RFE_PPA3</v>
          </cell>
          <cell r="CP1" t="str">
            <v>CALA_STD_TS_BZE_RFE_FY_PPA3</v>
          </cell>
          <cell r="CQ1" t="str">
            <v>CALA_NBOS_TS_RFE</v>
          </cell>
          <cell r="CR1" t="str">
            <v>CALA_NBOS_TS_RFE_FY</v>
          </cell>
          <cell r="CS1" t="str">
            <v>CALA_NBOS_TS_RFR</v>
          </cell>
          <cell r="CT1" t="str">
            <v>CALA_NBOS_TS_RFR_FY</v>
          </cell>
          <cell r="CU1" t="str">
            <v>CALA_NBOS_TS_AE</v>
          </cell>
          <cell r="CV1" t="str">
            <v>CALA_NBOS_TS_AE_FY</v>
          </cell>
          <cell r="CW1" t="str">
            <v>CALA_CO_TS_RFE</v>
          </cell>
          <cell r="CX1" t="str">
            <v>CALA_CO_TS_RFE_FY</v>
          </cell>
          <cell r="CY1" t="str">
            <v>CALA_CO_TS_RFR</v>
          </cell>
          <cell r="CZ1" t="str">
            <v>CALA_CO_TS_RFR_FY</v>
          </cell>
          <cell r="DA1" t="str">
            <v>CALA_PL_TS_RFE</v>
          </cell>
          <cell r="DB1" t="str">
            <v>CALA_PL_TS_RFE_FY</v>
          </cell>
          <cell r="DC1" t="str">
            <v>CALA_PL_TS_RFR</v>
          </cell>
          <cell r="DD1" t="str">
            <v>CALA_PL_TS_RFR_FY</v>
          </cell>
          <cell r="DE1" t="str">
            <v>New ALE_CPA_TS_GLD_RFE</v>
          </cell>
          <cell r="DF1" t="str">
            <v>New ALE_CPA_TS_GLD_RFE_FY</v>
          </cell>
          <cell r="DG1" t="str">
            <v>ALE_CPA_TS_BZE_RFE</v>
          </cell>
          <cell r="DH1" t="str">
            <v>ALE_CPA_TS_BZE_FY</v>
          </cell>
          <cell r="DI1" t="str">
            <v>EUROPE_CPA_TS_GLD_RFE</v>
          </cell>
          <cell r="DJ1" t="str">
            <v>EUROPE_CPA_TS_GLD_RFE_FY</v>
          </cell>
          <cell r="DK1" t="str">
            <v>EUROPE_CPA_TS_BZE_RFE</v>
          </cell>
          <cell r="DL1" t="str">
            <v>EUROPE_CPA_TS_BZE_RFE_FY</v>
          </cell>
          <cell r="DM1" t="str">
            <v>EUROPE_PPA_TS_GLD_RFE</v>
          </cell>
          <cell r="DN1" t="str">
            <v>EUROPE_PPA_TS_GLD_RFE_FY</v>
          </cell>
          <cell r="DO1" t="str">
            <v>EUROPE_PPA_TS_BZE_RFE</v>
          </cell>
          <cell r="DP1" t="str">
            <v>EUROPE_PPA_TS_BZE_RFE_FY</v>
          </cell>
          <cell r="DQ1" t="str">
            <v>EUROPE_PPA_TS_GLD_RFE_PPA3</v>
          </cell>
          <cell r="DR1" t="str">
            <v>EUROPE_PPA_TS_GLD_RFE_FY_PPA3</v>
          </cell>
          <cell r="DS1" t="str">
            <v>EUROPE_PPA_TS_BZE_RFE_PPA3</v>
          </cell>
          <cell r="DT1" t="str">
            <v>EUROPE_PPA_TS_BZE_RFE_FY_PPA3</v>
          </cell>
          <cell r="DU1" t="str">
            <v>New EUROPE_NBOS_TS_RFE</v>
          </cell>
          <cell r="DV1" t="str">
            <v>New EUROPE_NBOS_TS_RFE_FY</v>
          </cell>
          <cell r="DW1" t="str">
            <v>New EUROPE_NBOS_TS_RFR</v>
          </cell>
          <cell r="DX1" t="str">
            <v>New EUROPE_NBOS_TS_RFR_FY</v>
          </cell>
          <cell r="DY1" t="str">
            <v>New EUROPE_NBOS_TS_AE</v>
          </cell>
          <cell r="DZ1" t="str">
            <v>New EUROPE_NBOS_TS_AE_FY</v>
          </cell>
          <cell r="EA1" t="str">
            <v>New EUROPE_CO_TS_RFE</v>
          </cell>
          <cell r="EB1" t="str">
            <v>New EUROPE_CO_TS_RFE_FY</v>
          </cell>
          <cell r="EC1" t="str">
            <v>New EUROPE_CO_TS_RFR</v>
          </cell>
          <cell r="ED1" t="str">
            <v>New EUROPE_CO_TS_RFR_FY</v>
          </cell>
          <cell r="EE1" t="str">
            <v>New EUROPE_PL_TS_RFE</v>
          </cell>
          <cell r="EF1" t="str">
            <v>New EUROPE_PL_TS_RFE_FY</v>
          </cell>
          <cell r="EG1" t="str">
            <v>New EUROPE_PL_TS_RFR</v>
          </cell>
          <cell r="EH1" t="str">
            <v>New EUROPE_PL_TS_RFR_FY</v>
          </cell>
          <cell r="EI1" t="str">
            <v>MEA_CPA_TS_GLD_RFE</v>
          </cell>
          <cell r="EJ1" t="str">
            <v>MEA_CPA_TS_GLD_RFE_FY</v>
          </cell>
          <cell r="EK1" t="str">
            <v>MEA_CPA_TS_BZE_RFE</v>
          </cell>
          <cell r="EL1" t="str">
            <v>MEA_CPA_TS_BZE_RFE_FY</v>
          </cell>
          <cell r="EM1" t="str">
            <v>MEA_PPA_TS_GLD_RFE</v>
          </cell>
          <cell r="EN1" t="str">
            <v>MEA_PPA_TS_GLD_RFE_FY</v>
          </cell>
          <cell r="EO1" t="str">
            <v>MEA_PPA_TS_BZE_RFE</v>
          </cell>
          <cell r="EP1" t="str">
            <v>MEA_PPA_TS_BZE_RFE_FY</v>
          </cell>
          <cell r="EQ1" t="str">
            <v>MEA_PPA_TS_GLD_RFE_PPA3</v>
          </cell>
          <cell r="ER1" t="str">
            <v>MEA_PPA_TS_GLD_RFE_FY_PPA3</v>
          </cell>
          <cell r="ES1" t="str">
            <v>MEA_PPA_TS_BZE_RFE_PPA3</v>
          </cell>
          <cell r="ET1" t="str">
            <v>MEA_PPA_TS_BZE_RFE_FY_PPA3</v>
          </cell>
          <cell r="EU1" t="str">
            <v>New MEA_NBOS_TS_RFE</v>
          </cell>
          <cell r="EV1" t="str">
            <v>New MEA_NBOS_TS_RFE_FY</v>
          </cell>
          <cell r="EW1" t="str">
            <v>New MEA_NBOS_TS_RFR</v>
          </cell>
          <cell r="EX1" t="str">
            <v>New MEA_NBOS_TS_RFR_FY</v>
          </cell>
          <cell r="EY1" t="str">
            <v>New MEA_NBOS_TS_AE</v>
          </cell>
          <cell r="EZ1" t="str">
            <v>New MEA_NBOS_TS_AE_FY</v>
          </cell>
          <cell r="FA1" t="str">
            <v>New MEA_CO_TS_RFE</v>
          </cell>
          <cell r="FB1" t="str">
            <v>New MEA_CO_TS_RFE_FY</v>
          </cell>
          <cell r="FC1" t="str">
            <v>New MEA_CO_TS_RFR</v>
          </cell>
          <cell r="FD1" t="str">
            <v>New MEA_CO_TS_RFR_FY</v>
          </cell>
          <cell r="FE1" t="str">
            <v>New MEA_PL_TS_RFE</v>
          </cell>
          <cell r="FF1" t="str">
            <v>New MEA_PL_TS_RFE_FY</v>
          </cell>
          <cell r="FG1" t="str">
            <v>New MEA_PL_TS_RFR</v>
          </cell>
          <cell r="FH1" t="str">
            <v>New MEA_PL_TS_RFR_FY</v>
          </cell>
          <cell r="FI1" t="str">
            <v>APJ-A_STD_TS_GLD_RFE</v>
          </cell>
          <cell r="FJ1" t="str">
            <v>APJ-A_STD_TS_GLD_RFE_FY</v>
          </cell>
          <cell r="FK1" t="str">
            <v>APJ-A_STD_TS_BZE_RFE</v>
          </cell>
          <cell r="FL1" t="str">
            <v>APJ-A_STD_TS_BZE_RFE_FY</v>
          </cell>
          <cell r="FM1" t="str">
            <v>APJ-A_STD_TS_GLD_RFE_PPA3</v>
          </cell>
          <cell r="FN1" t="str">
            <v>APJ-A_STD_TS_GLD_RFE_FY_PPA3</v>
          </cell>
          <cell r="FO1" t="str">
            <v>APJ-A_STD_TS_BZE_RFE_PPA3</v>
          </cell>
          <cell r="FP1" t="str">
            <v>APJ-A_STD_TS_BZE_RFE_FY_PPA3</v>
          </cell>
          <cell r="FQ1" t="str">
            <v>New APJ-A_NBOS_TS_RFE</v>
          </cell>
          <cell r="FR1" t="str">
            <v>New APJ-A_NBOS_TS_RFE_FY</v>
          </cell>
          <cell r="FS1" t="str">
            <v>New APJ-A_NBOS_TS_RFR</v>
          </cell>
          <cell r="FT1" t="str">
            <v>New APJ-A_NBOS_TS_RFR_FY</v>
          </cell>
          <cell r="FU1" t="str">
            <v>New APJ-A_NBOS_TS_AE</v>
          </cell>
          <cell r="FV1" t="str">
            <v>New APJ-A_NBOS_TS_AE_FY</v>
          </cell>
          <cell r="FW1" t="str">
            <v>New APJ-A_CO_TS_RFE</v>
          </cell>
          <cell r="FX1" t="str">
            <v>New APJ-A_CO_TS_RFE_FY</v>
          </cell>
          <cell r="FY1" t="str">
            <v>New APJ-A_CO_TS_RFR</v>
          </cell>
          <cell r="FZ1" t="str">
            <v>New APJ-A_CO_TS_RFR_FY</v>
          </cell>
          <cell r="GA1" t="str">
            <v>New APJ-A_PL_TS_RFE</v>
          </cell>
          <cell r="GB1" t="str">
            <v>New APJ-A_PL_TS_RFE_FY</v>
          </cell>
          <cell r="GC1" t="str">
            <v>New APJ-A_PL_TS_RFR</v>
          </cell>
          <cell r="GD1" t="str">
            <v>New APJ-A_PL_TS_RFR_FY</v>
          </cell>
          <cell r="GE1" t="str">
            <v>APJ-B_STD_TS_GLD_RFE</v>
          </cell>
          <cell r="GF1" t="str">
            <v>APJ-B_STD_TS_GLD_RFE_FY</v>
          </cell>
          <cell r="GG1" t="str">
            <v>APJ-B_STD_TS_BZE_RFE</v>
          </cell>
          <cell r="GH1" t="str">
            <v>APJ-B_STD_TS_BZE_RFE_FY</v>
          </cell>
          <cell r="GI1" t="str">
            <v>APJ-B_STD_TS_GLD_RFE_PPA3</v>
          </cell>
          <cell r="GJ1" t="str">
            <v>APJ-B_STD_TS_GLD_RFE_FY_PPA3</v>
          </cell>
          <cell r="GK1" t="str">
            <v>APJ-B_STD_TS_BZE_RFE_PPA3</v>
          </cell>
          <cell r="GL1" t="str">
            <v>APJ-B_STD_TS_BZE_RFE_FY_PPA3</v>
          </cell>
          <cell r="GM1" t="str">
            <v>New APJ-B_NBOS_TS_RFE</v>
          </cell>
          <cell r="GN1" t="str">
            <v>New APJ-B_NBOS_TS_RFE_FY</v>
          </cell>
          <cell r="GO1" t="str">
            <v>New APJ-B_NBOS_TS_RFR</v>
          </cell>
          <cell r="GP1" t="str">
            <v>New APJ-B_NBOS_TS_RFR_FY</v>
          </cell>
          <cell r="GQ1" t="str">
            <v>New APJ-B_NBOS_TS_AE</v>
          </cell>
          <cell r="GR1" t="str">
            <v>New APJ-B_NBOS_TS_AE_FY</v>
          </cell>
          <cell r="GS1" t="str">
            <v>New APJ-B_CO_TS_RFE</v>
          </cell>
          <cell r="GT1" t="str">
            <v>New APJ-B_CO_TS_RFE_FY</v>
          </cell>
          <cell r="GU1" t="str">
            <v>New APJ-B_CO_TS_RFR</v>
          </cell>
          <cell r="GV1" t="str">
            <v>New APJ-B_CO_TS_RFR_FY</v>
          </cell>
          <cell r="GW1" t="str">
            <v>New APJ-B_PL_TS_RFE</v>
          </cell>
          <cell r="GX1" t="str">
            <v>New APJ-B_PL_TS_RFE_FY</v>
          </cell>
          <cell r="GY1" t="str">
            <v>New APJ-B_PL_TS_RFR</v>
          </cell>
          <cell r="GZ1" t="str">
            <v>New APJ-B_PL_TS_RFR_FY</v>
          </cell>
          <cell r="HA1" t="str">
            <v>APJ-C_STD_TS_GLD_RFE</v>
          </cell>
          <cell r="HB1" t="str">
            <v>APJ-C_STD_TS_GLD_RFE_FY</v>
          </cell>
          <cell r="HC1" t="str">
            <v>APJ-C_STD_TS_BZE_RFE</v>
          </cell>
          <cell r="HD1" t="str">
            <v>APJ-C_STD_TS_BZE_RFE_FY</v>
          </cell>
          <cell r="HE1" t="str">
            <v>APJ-C_STD_TS_GLD_RFE_PPA3</v>
          </cell>
          <cell r="HF1" t="str">
            <v>APJ-C_STD_TS_GLD_RFE_FY_PPA3</v>
          </cell>
          <cell r="HG1" t="str">
            <v>APJ-C_STD_TS_BZE_RFE_PPA3</v>
          </cell>
          <cell r="HH1" t="str">
            <v>APJ-C_STD_TS_BZE_RFE_FY_PPA3</v>
          </cell>
          <cell r="HI1" t="str">
            <v>New APJ-C_NBOS_TS_RFE</v>
          </cell>
          <cell r="HJ1" t="str">
            <v>New APJ-C_NBOS_TS_RFE_FY</v>
          </cell>
          <cell r="HK1" t="str">
            <v>New APJ-C_NBOS_TS_RFR</v>
          </cell>
          <cell r="HL1" t="str">
            <v>New APJ-C_NBOS_TS_RFR_FY</v>
          </cell>
          <cell r="HM1" t="str">
            <v>New APJ-C_NBOS_TS_AE</v>
          </cell>
          <cell r="HN1" t="str">
            <v>New APJ-C_NBOS_TS_AE_FY</v>
          </cell>
          <cell r="HO1" t="str">
            <v>New APJ-C_CO_TS_RFE</v>
          </cell>
          <cell r="HP1" t="str">
            <v>New APJ-C_CO_TS_RFE_FY</v>
          </cell>
          <cell r="HQ1" t="str">
            <v>New APJ-C_CO_TS_RFR</v>
          </cell>
          <cell r="HR1" t="str">
            <v>New APJ-C_CO_TS_RFR_FY</v>
          </cell>
          <cell r="HS1" t="str">
            <v>New APJ-C_PL_TS_RFE</v>
          </cell>
          <cell r="HT1" t="str">
            <v>New APJ-C_PL_TS_RFE_FY</v>
          </cell>
          <cell r="HU1" t="str">
            <v>New APJ-C_PL_TS_RFR</v>
          </cell>
          <cell r="HV1" t="str">
            <v>New APJ-C_PL_TS_RFR_FY</v>
          </cell>
          <cell r="HW1" t="str">
            <v>Method</v>
          </cell>
        </row>
        <row r="2">
          <cell r="D2" t="str">
            <v>GPP 3.0 PPA RES (Reseller)</v>
          </cell>
          <cell r="E2" t="str">
            <v>NAM-GPP 3.0 / SPAAP / Global Alliance</v>
          </cell>
          <cell r="F2" t="str">
            <v>LATAM-GPP 3.0 / SPAAP / Global Alliance</v>
          </cell>
          <cell r="G2" t="str">
            <v>Europe-GPP 3.0 / SPAAP / Global Alliance</v>
          </cell>
          <cell r="H2" t="str">
            <v>MEA-GPP 3.0 / SPAAP / Global Alliance</v>
          </cell>
          <cell r="I2" t="str">
            <v>APJ-GPP 3.0 / SPAAP / Global Alliance</v>
          </cell>
          <cell r="J2" t="str">
            <v>APJ-GPP 3.0 / SPAAP / Global Alliance</v>
          </cell>
          <cell r="K2" t="str">
            <v>APJ-GPP 3.0 / SPAAP / Global Alliance</v>
          </cell>
          <cell r="L2" t="str">
            <v>GPP3_PPA_RES</v>
          </cell>
          <cell r="N2" t="str">
            <v>Technical Support Gold &amp; Return for Exchange</v>
          </cell>
          <cell r="O2">
            <v>4</v>
          </cell>
          <cell r="R2" t="str">
            <v>EUR</v>
          </cell>
          <cell r="S2">
            <v>0.84399999999999997</v>
          </cell>
          <cell r="X2" t="str">
            <v>North America</v>
          </cell>
          <cell r="Y2" t="str">
            <v>NAR</v>
          </cell>
          <cell r="AC2" t="str">
            <v>PTD-GPP 1.0 CPA</v>
          </cell>
          <cell r="AD2" t="str">
            <v>Handling</v>
          </cell>
          <cell r="AE2">
            <v>0.03</v>
          </cell>
          <cell r="AF2" t="str">
            <v>PTD-GPP 1.0 CPA-Handling</v>
          </cell>
          <cell r="AK2" t="str">
            <v>NAR-CPA</v>
          </cell>
          <cell r="AL2" t="e">
            <v>#N/A</v>
          </cell>
          <cell r="AM2" t="e">
            <v>#N/A</v>
          </cell>
          <cell r="AN2" t="e">
            <v>#N/A</v>
          </cell>
          <cell r="AO2" t="e">
            <v>#N/A</v>
          </cell>
          <cell r="AP2" t="e">
            <v>#N/A</v>
          </cell>
          <cell r="AQ2" t="e">
            <v>#N/A</v>
          </cell>
          <cell r="AR2" t="e">
            <v>#N/A</v>
          </cell>
          <cell r="AS2" t="e">
            <v>#N/A</v>
          </cell>
          <cell r="AV2" t="str">
            <v>7210 SAS Accessories</v>
          </cell>
          <cell r="AW2">
            <v>0.5</v>
          </cell>
          <cell r="AX2">
            <v>0.4</v>
          </cell>
          <cell r="AY2">
            <v>0.5</v>
          </cell>
          <cell r="AZ2">
            <v>0.5</v>
          </cell>
          <cell r="BA2">
            <v>0.43</v>
          </cell>
          <cell r="BB2">
            <v>0.5</v>
          </cell>
          <cell r="BC2">
            <v>0.5</v>
          </cell>
          <cell r="BD2">
            <v>0.43</v>
          </cell>
          <cell r="BE2">
            <v>0.5</v>
          </cell>
          <cell r="BF2">
            <v>0.4</v>
          </cell>
          <cell r="BG2">
            <v>0.4</v>
          </cell>
          <cell r="BH2">
            <v>0.5</v>
          </cell>
          <cell r="BI2">
            <v>0.5</v>
          </cell>
          <cell r="BJ2">
            <v>0.5</v>
          </cell>
          <cell r="BK2">
            <v>2.5000000000000001E-2</v>
          </cell>
          <cell r="BL2" t="str">
            <v>%PMP</v>
          </cell>
          <cell r="BM2">
            <v>2.8043362500000002E-2</v>
          </cell>
          <cell r="BN2">
            <v>2.06E-2</v>
          </cell>
          <cell r="BO2">
            <v>2.6208749999999999E-2</v>
          </cell>
          <cell r="BP2">
            <v>1.54E-2</v>
          </cell>
          <cell r="BQ2">
            <v>2.8043362500000002E-2</v>
          </cell>
          <cell r="BR2">
            <v>2.06E-2</v>
          </cell>
          <cell r="BS2">
            <v>2.6208749999999999E-2</v>
          </cell>
          <cell r="BT2">
            <v>1.54E-2</v>
          </cell>
          <cell r="BU2">
            <v>2.6208749999999999E-2</v>
          </cell>
          <cell r="BV2">
            <v>1.5681750000000001E-2</v>
          </cell>
          <cell r="BW2">
            <v>2.0553749999999999E-2</v>
          </cell>
          <cell r="BX2">
            <v>1.0048499999999998E-2</v>
          </cell>
          <cell r="BY2">
            <v>2.8829625000000001E-2</v>
          </cell>
          <cell r="BZ2">
            <v>1.84820625E-2</v>
          </cell>
          <cell r="CA2">
            <v>2.0967E-2</v>
          </cell>
          <cell r="CB2">
            <v>1.25454E-2</v>
          </cell>
          <cell r="CC2">
            <v>1.6442999999999999E-2</v>
          </cell>
          <cell r="CD2">
            <v>8.0388000000000005E-3</v>
          </cell>
          <cell r="CE2">
            <v>2.0967E-2</v>
          </cell>
          <cell r="CF2">
            <v>1.25454E-2</v>
          </cell>
          <cell r="CG2">
            <v>1.6442999999999999E-2</v>
          </cell>
          <cell r="CH2">
            <v>8.0388000000000005E-3</v>
          </cell>
          <cell r="CI2">
            <v>2.6297889491126471E-2</v>
          </cell>
          <cell r="CJ2">
            <v>1.95E-2</v>
          </cell>
          <cell r="CK2">
            <v>2.4577466814136886E-2</v>
          </cell>
          <cell r="CL2">
            <v>1.66E-2</v>
          </cell>
          <cell r="CM2">
            <v>2.6297889491126471E-2</v>
          </cell>
          <cell r="CN2">
            <v>1.95E-2</v>
          </cell>
          <cell r="CO2">
            <v>2.4577466814136886E-2</v>
          </cell>
          <cell r="CP2">
            <v>1.66E-2</v>
          </cell>
          <cell r="CQ2">
            <v>2.4577466814136886E-2</v>
          </cell>
          <cell r="CR2">
            <v>1.4586192261433413E-2</v>
          </cell>
          <cell r="CS2">
            <v>2.1478568824528324E-2</v>
          </cell>
          <cell r="CT2">
            <v>1.0643111716034931E-2</v>
          </cell>
          <cell r="CU2">
            <v>2.7035213495550579E-2</v>
          </cell>
          <cell r="CV2">
            <v>1.7190869450975102E-2</v>
          </cell>
          <cell r="CW2">
            <v>1.966197345130951E-2</v>
          </cell>
          <cell r="CX2">
            <v>1.1668953809146733E-2</v>
          </cell>
          <cell r="CY2">
            <v>1.7182855059622658E-2</v>
          </cell>
          <cell r="CZ2">
            <v>8.5144893728279439E-3</v>
          </cell>
          <cell r="DA2">
            <v>1.966197345130951E-2</v>
          </cell>
          <cell r="DB2">
            <v>1.1668953809146733E-2</v>
          </cell>
          <cell r="DC2">
            <v>1.7182855059622658E-2</v>
          </cell>
          <cell r="DD2">
            <v>8.5144893728279439E-3</v>
          </cell>
          <cell r="DE2">
            <v>2.18E-2</v>
          </cell>
          <cell r="DF2">
            <v>1.83E-2</v>
          </cell>
          <cell r="DG2">
            <v>1.9300000000000001E-2</v>
          </cell>
          <cell r="DH2">
            <v>1.5800000000000002E-2</v>
          </cell>
          <cell r="DI2">
            <v>2.93E-2</v>
          </cell>
          <cell r="DJ2">
            <v>2.58E-2</v>
          </cell>
          <cell r="DK2">
            <v>2.5899999999999999E-2</v>
          </cell>
          <cell r="DL2">
            <v>2.24E-2</v>
          </cell>
          <cell r="DM2">
            <v>2.18E-2</v>
          </cell>
          <cell r="DN2">
            <v>1.83E-2</v>
          </cell>
          <cell r="DO2">
            <v>1.9300000000000001E-2</v>
          </cell>
          <cell r="DP2">
            <v>1.5800000000000002E-2</v>
          </cell>
          <cell r="DQ2">
            <v>2.18E-2</v>
          </cell>
          <cell r="DR2">
            <v>1.83E-2</v>
          </cell>
          <cell r="DS2">
            <v>1.9300000000000001E-2</v>
          </cell>
          <cell r="DT2">
            <v>1.5800000000000002E-2</v>
          </cell>
          <cell r="DU2">
            <v>2.3699999999999999E-2</v>
          </cell>
          <cell r="DV2">
            <v>1.7899999999999999E-2</v>
          </cell>
          <cell r="DW2">
            <v>2.1000000000000001E-2</v>
          </cell>
          <cell r="DX2">
            <v>1.2999999999999999E-2</v>
          </cell>
          <cell r="DY2">
            <v>2.6100000000000002E-2</v>
          </cell>
          <cell r="DZ2">
            <v>1.7899999999999999E-2</v>
          </cell>
          <cell r="EA2">
            <v>1.9699999999999999E-2</v>
          </cell>
          <cell r="EB2">
            <v>1.49E-2</v>
          </cell>
          <cell r="EC2">
            <v>1.7500000000000002E-2</v>
          </cell>
          <cell r="ED2">
            <v>1.0800000000000001E-2</v>
          </cell>
          <cell r="EE2">
            <v>1.9699999999999999E-2</v>
          </cell>
          <cell r="EF2">
            <v>1.49E-2</v>
          </cell>
          <cell r="EG2">
            <v>1.7500000000000002E-2</v>
          </cell>
          <cell r="EH2">
            <v>1.0800000000000001E-2</v>
          </cell>
          <cell r="EI2">
            <v>2.93E-2</v>
          </cell>
          <cell r="EJ2">
            <v>2.58E-2</v>
          </cell>
          <cell r="EK2">
            <v>2.5899999999999999E-2</v>
          </cell>
          <cell r="EL2">
            <v>2.24E-2</v>
          </cell>
          <cell r="EM2">
            <v>2.18E-2</v>
          </cell>
          <cell r="EN2">
            <v>1.83E-2</v>
          </cell>
          <cell r="EO2">
            <v>1.9300000000000001E-2</v>
          </cell>
          <cell r="EP2">
            <v>1.5800000000000002E-2</v>
          </cell>
          <cell r="EQ2">
            <v>2.18E-2</v>
          </cell>
          <cell r="ER2">
            <v>1.83E-2</v>
          </cell>
          <cell r="ES2">
            <v>1.9300000000000001E-2</v>
          </cell>
          <cell r="ET2">
            <v>1.5800000000000002E-2</v>
          </cell>
          <cell r="EU2">
            <v>2.3699999999999999E-2</v>
          </cell>
          <cell r="EV2">
            <v>1.7899999999999999E-2</v>
          </cell>
          <cell r="EW2">
            <v>2.1000000000000001E-2</v>
          </cell>
          <cell r="EX2">
            <v>1.2999999999999999E-2</v>
          </cell>
          <cell r="EY2">
            <v>2.6100000000000002E-2</v>
          </cell>
          <cell r="EZ2">
            <v>1.7899999999999999E-2</v>
          </cell>
          <cell r="FA2">
            <v>1.9699999999999999E-2</v>
          </cell>
          <cell r="FB2">
            <v>1.49E-2</v>
          </cell>
          <cell r="FC2">
            <v>1.7500000000000002E-2</v>
          </cell>
          <cell r="FD2">
            <v>1.0800000000000001E-2</v>
          </cell>
          <cell r="FE2">
            <v>1.9699999999999999E-2</v>
          </cell>
          <cell r="FF2">
            <v>1.49E-2</v>
          </cell>
          <cell r="FG2">
            <v>1.7500000000000002E-2</v>
          </cell>
          <cell r="FH2">
            <v>1.0800000000000001E-2</v>
          </cell>
          <cell r="FI2">
            <v>3.1993000000000001E-2</v>
          </cell>
          <cell r="FJ2">
            <v>2.7601803921568628E-2</v>
          </cell>
          <cell r="FK2">
            <v>2.9899999999999999E-2</v>
          </cell>
          <cell r="FL2">
            <v>2.5032558139534884E-2</v>
          </cell>
          <cell r="FM2">
            <v>3.1993000000000001E-2</v>
          </cell>
          <cell r="FN2">
            <v>2.7601803921568628E-2</v>
          </cell>
          <cell r="FO2">
            <v>2.9899999999999999E-2</v>
          </cell>
          <cell r="FP2">
            <v>2.5032558139534884E-2</v>
          </cell>
          <cell r="FQ2">
            <v>2.9899999999999999E-2</v>
          </cell>
          <cell r="FR2">
            <v>2.3199999999999998E-2</v>
          </cell>
          <cell r="FS2">
            <v>2.3400000000000001E-2</v>
          </cell>
          <cell r="FT2">
            <v>1.5699999999999999E-2</v>
          </cell>
          <cell r="FU2">
            <v>3.2899999999999999E-2</v>
          </cell>
          <cell r="FV2">
            <v>2.41E-2</v>
          </cell>
          <cell r="FW2">
            <v>2.5899999999999999E-2</v>
          </cell>
          <cell r="FX2">
            <v>2.01E-2</v>
          </cell>
          <cell r="FY2">
            <v>2.0299999999999999E-2</v>
          </cell>
          <cell r="FZ2">
            <v>1.3599999999999999E-2</v>
          </cell>
          <cell r="GA2">
            <v>2.5899999999999999E-2</v>
          </cell>
          <cell r="GB2">
            <v>2.01E-2</v>
          </cell>
          <cell r="GC2">
            <v>2.0299999999999999E-2</v>
          </cell>
          <cell r="GD2">
            <v>1.3599999999999999E-2</v>
          </cell>
          <cell r="GE2">
            <v>2.8248000000000002E-2</v>
          </cell>
          <cell r="GF2">
            <v>2.2483102040816327E-2</v>
          </cell>
          <cell r="GG2">
            <v>2.64E-2</v>
          </cell>
          <cell r="GH2">
            <v>2.0507142857142856E-2</v>
          </cell>
          <cell r="GI2">
            <v>2.8248000000000002E-2</v>
          </cell>
          <cell r="GJ2">
            <v>2.2483102040816327E-2</v>
          </cell>
          <cell r="GK2">
            <v>2.64E-2</v>
          </cell>
          <cell r="GL2">
            <v>2.0507142857142856E-2</v>
          </cell>
          <cell r="GM2">
            <v>2.64E-2</v>
          </cell>
          <cell r="GN2">
            <v>1.9E-2</v>
          </cell>
          <cell r="GO2">
            <v>2.07E-2</v>
          </cell>
          <cell r="GP2">
            <v>1.29E-2</v>
          </cell>
          <cell r="GQ2">
            <v>2.9000000000000001E-2</v>
          </cell>
          <cell r="GR2">
            <v>1.9800000000000002E-2</v>
          </cell>
          <cell r="GS2">
            <v>2.29E-2</v>
          </cell>
          <cell r="GT2">
            <v>1.6500000000000001E-2</v>
          </cell>
          <cell r="GU2">
            <v>1.7899999999999999E-2</v>
          </cell>
          <cell r="GV2">
            <v>1.11E-2</v>
          </cell>
          <cell r="GW2">
            <v>2.29E-2</v>
          </cell>
          <cell r="GX2">
            <v>1.6500000000000001E-2</v>
          </cell>
          <cell r="GY2">
            <v>1.7899999999999999E-2</v>
          </cell>
          <cell r="GZ2">
            <v>1.11E-2</v>
          </cell>
          <cell r="HA2">
            <v>2.5252E-2</v>
          </cell>
          <cell r="HB2">
            <v>2.00985306122449E-2</v>
          </cell>
          <cell r="HC2">
            <v>2.3599999999999999E-2</v>
          </cell>
          <cell r="HD2">
            <v>1.8332142857142856E-2</v>
          </cell>
          <cell r="HE2">
            <v>2.5252E-2</v>
          </cell>
          <cell r="HF2">
            <v>2.00985306122449E-2</v>
          </cell>
          <cell r="HG2">
            <v>2.3599999999999999E-2</v>
          </cell>
          <cell r="HH2">
            <v>1.8332142857142856E-2</v>
          </cell>
          <cell r="HI2">
            <v>2.3599999999999999E-2</v>
          </cell>
          <cell r="HJ2">
            <v>1.7000000000000001E-2</v>
          </cell>
          <cell r="HK2">
            <v>1.8499999999999999E-2</v>
          </cell>
          <cell r="HL2">
            <v>1.15E-2</v>
          </cell>
          <cell r="HM2">
            <v>2.5899999999999999E-2</v>
          </cell>
          <cell r="HN2">
            <v>1.77E-2</v>
          </cell>
          <cell r="HO2">
            <v>2.0400000000000001E-2</v>
          </cell>
          <cell r="HP2">
            <v>1.47E-2</v>
          </cell>
          <cell r="HQ2">
            <v>1.6E-2</v>
          </cell>
          <cell r="HR2">
            <v>0.01</v>
          </cell>
          <cell r="HS2">
            <v>2.0400000000000001E-2</v>
          </cell>
          <cell r="HT2">
            <v>1.47E-2</v>
          </cell>
          <cell r="HU2">
            <v>1.6E-2</v>
          </cell>
          <cell r="HV2">
            <v>0.01</v>
          </cell>
          <cell r="HW2" t="str">
            <v>%PPL</v>
          </cell>
        </row>
        <row r="3">
          <cell r="D3" t="str">
            <v>GPP 3.0 PPA RES (Reseller) w PMA</v>
          </cell>
          <cell r="E3" t="str">
            <v>NAM-GPP 3.0 / SPAAP / Global Alliance</v>
          </cell>
          <cell r="F3" t="str">
            <v>LATAM-GPP 3.0 / SPAAP / Global Alliance</v>
          </cell>
          <cell r="G3" t="str">
            <v>Europe-GPP 3.0 / SPAAP / Global Alliance</v>
          </cell>
          <cell r="H3" t="str">
            <v>MEA-GPP 3.0 / SPAAP / Global Alliance</v>
          </cell>
          <cell r="I3" t="str">
            <v>APJ-GPP 3.0 / SPAAP / Global Alliance</v>
          </cell>
          <cell r="J3" t="str">
            <v>APJ-GPP 3.0 / SPAAP / Global Alliance</v>
          </cell>
          <cell r="K3" t="str">
            <v>APJ-GPP 3.0 / SPAAP / Global Alliance</v>
          </cell>
          <cell r="L3" t="str">
            <v>GPP3_PPA_RES_PMA</v>
          </cell>
          <cell r="N3" t="str">
            <v>Technical Support Gold &amp; Return for Repair</v>
          </cell>
          <cell r="O3">
            <v>6</v>
          </cell>
          <cell r="R3" t="str">
            <v>USD</v>
          </cell>
          <cell r="S3">
            <v>1</v>
          </cell>
          <cell r="X3" t="str">
            <v>Latin America</v>
          </cell>
          <cell r="Y3" t="str">
            <v>CALA</v>
          </cell>
          <cell r="AC3" t="str">
            <v>PTD-GPP 1.0 CPA</v>
          </cell>
          <cell r="AD3" t="str">
            <v>Advanced</v>
          </cell>
          <cell r="AE3">
            <v>0.09</v>
          </cell>
          <cell r="AF3" t="str">
            <v>PTD-GPP 1.0 CPA-Advanced</v>
          </cell>
          <cell r="AK3" t="str">
            <v>CALA-CPA</v>
          </cell>
          <cell r="AL3" t="str">
            <v>CALA_STD_TS_GLD_RFE</v>
          </cell>
          <cell r="AM3" t="str">
            <v>CALA_STD_TS_GLD_RFE_FY</v>
          </cell>
          <cell r="AR3" t="str">
            <v>CALA_STD_TS_BZE_RFE</v>
          </cell>
          <cell r="AS3" t="str">
            <v>CALA_STD_TS_BZE_RFE_FY</v>
          </cell>
          <cell r="AV3" t="str">
            <v>7210 SAS-D/Dxp</v>
          </cell>
          <cell r="AW3">
            <v>0.45</v>
          </cell>
          <cell r="AX3">
            <v>0.4</v>
          </cell>
          <cell r="AY3">
            <v>0.5</v>
          </cell>
          <cell r="AZ3">
            <v>0.4</v>
          </cell>
          <cell r="BA3">
            <v>0.311</v>
          </cell>
          <cell r="BB3">
            <v>0.5</v>
          </cell>
          <cell r="BC3">
            <v>0.4</v>
          </cell>
          <cell r="BD3">
            <v>0.311</v>
          </cell>
          <cell r="BE3">
            <v>0.5</v>
          </cell>
          <cell r="BF3">
            <v>0.45</v>
          </cell>
          <cell r="BG3">
            <v>0.45</v>
          </cell>
          <cell r="BH3">
            <v>0.5</v>
          </cell>
          <cell r="BI3">
            <v>0.45</v>
          </cell>
          <cell r="BJ3">
            <v>0.5</v>
          </cell>
          <cell r="BK3">
            <v>2.5000000000000001E-2</v>
          </cell>
          <cell r="BL3" t="str">
            <v>%PMP</v>
          </cell>
          <cell r="BM3">
            <v>2.8043362500000002E-2</v>
          </cell>
          <cell r="BN3">
            <v>2.06E-2</v>
          </cell>
          <cell r="BO3">
            <v>2.6208749999999999E-2</v>
          </cell>
          <cell r="BP3">
            <v>1.54E-2</v>
          </cell>
          <cell r="BQ3">
            <v>2.8043362500000002E-2</v>
          </cell>
          <cell r="BR3">
            <v>2.06E-2</v>
          </cell>
          <cell r="BS3">
            <v>2.6208749999999999E-2</v>
          </cell>
          <cell r="BT3">
            <v>1.54E-2</v>
          </cell>
          <cell r="BU3">
            <v>2.6208749999999999E-2</v>
          </cell>
          <cell r="BV3">
            <v>1.5681750000000001E-2</v>
          </cell>
          <cell r="BW3">
            <v>2.0553749999999999E-2</v>
          </cell>
          <cell r="BX3">
            <v>1.0048499999999998E-2</v>
          </cell>
          <cell r="BY3">
            <v>2.8829625000000001E-2</v>
          </cell>
          <cell r="BZ3">
            <v>1.84820625E-2</v>
          </cell>
          <cell r="CA3">
            <v>2.0967E-2</v>
          </cell>
          <cell r="CB3">
            <v>1.25454E-2</v>
          </cell>
          <cell r="CC3">
            <v>1.6442999999999999E-2</v>
          </cell>
          <cell r="CD3">
            <v>8.0388000000000005E-3</v>
          </cell>
          <cell r="CE3">
            <v>2.0967E-2</v>
          </cell>
          <cell r="CF3">
            <v>1.25454E-2</v>
          </cell>
          <cell r="CG3">
            <v>1.6442999999999999E-2</v>
          </cell>
          <cell r="CH3">
            <v>8.0388000000000005E-3</v>
          </cell>
          <cell r="CI3">
            <v>2.6297889491126471E-2</v>
          </cell>
          <cell r="CJ3">
            <v>1.95E-2</v>
          </cell>
          <cell r="CK3">
            <v>2.4577466814136886E-2</v>
          </cell>
          <cell r="CL3">
            <v>1.66E-2</v>
          </cell>
          <cell r="CM3">
            <v>2.6297889491126471E-2</v>
          </cell>
          <cell r="CN3">
            <v>1.95E-2</v>
          </cell>
          <cell r="CO3">
            <v>2.4577466814136886E-2</v>
          </cell>
          <cell r="CP3">
            <v>1.66E-2</v>
          </cell>
          <cell r="CQ3">
            <v>2.4577466814136886E-2</v>
          </cell>
          <cell r="CR3">
            <v>1.4586192261433413E-2</v>
          </cell>
          <cell r="CS3">
            <v>2.1478568824528324E-2</v>
          </cell>
          <cell r="CT3">
            <v>1.0643111716034931E-2</v>
          </cell>
          <cell r="CU3">
            <v>2.7035213495550579E-2</v>
          </cell>
          <cell r="CV3">
            <v>1.7190869450975102E-2</v>
          </cell>
          <cell r="CW3">
            <v>1.966197345130951E-2</v>
          </cell>
          <cell r="CX3">
            <v>1.1668953809146733E-2</v>
          </cell>
          <cell r="CY3">
            <v>1.7182855059622658E-2</v>
          </cell>
          <cell r="CZ3">
            <v>8.5144893728279439E-3</v>
          </cell>
          <cell r="DA3">
            <v>1.966197345130951E-2</v>
          </cell>
          <cell r="DB3">
            <v>1.1668953809146733E-2</v>
          </cell>
          <cell r="DC3">
            <v>1.7182855059622658E-2</v>
          </cell>
          <cell r="DD3">
            <v>8.5144893728279439E-3</v>
          </cell>
          <cell r="DE3">
            <v>2.18E-2</v>
          </cell>
          <cell r="DF3">
            <v>1.83E-2</v>
          </cell>
          <cell r="DG3">
            <v>1.9300000000000001E-2</v>
          </cell>
          <cell r="DH3">
            <v>1.5800000000000002E-2</v>
          </cell>
          <cell r="DI3">
            <v>3.5200000000000002E-2</v>
          </cell>
          <cell r="DJ3">
            <v>3.1699999999999999E-2</v>
          </cell>
          <cell r="DK3">
            <v>3.1099999999999999E-2</v>
          </cell>
          <cell r="DL3">
            <v>2.76E-2</v>
          </cell>
          <cell r="DM3">
            <v>2.18E-2</v>
          </cell>
          <cell r="DN3">
            <v>1.83E-2</v>
          </cell>
          <cell r="DO3">
            <v>1.9300000000000001E-2</v>
          </cell>
          <cell r="DP3">
            <v>1.5800000000000002E-2</v>
          </cell>
          <cell r="DQ3">
            <v>2.18E-2</v>
          </cell>
          <cell r="DR3">
            <v>1.83E-2</v>
          </cell>
          <cell r="DS3">
            <v>1.9300000000000001E-2</v>
          </cell>
          <cell r="DT3">
            <v>1.5800000000000002E-2</v>
          </cell>
          <cell r="DU3">
            <v>2.3699999999999999E-2</v>
          </cell>
          <cell r="DV3">
            <v>1.7899999999999999E-2</v>
          </cell>
          <cell r="DW3">
            <v>2.1000000000000001E-2</v>
          </cell>
          <cell r="DX3">
            <v>1.2999999999999999E-2</v>
          </cell>
          <cell r="DY3">
            <v>2.6100000000000002E-2</v>
          </cell>
          <cell r="DZ3">
            <v>1.7899999999999999E-2</v>
          </cell>
          <cell r="EA3">
            <v>1.9699999999999999E-2</v>
          </cell>
          <cell r="EB3">
            <v>1.49E-2</v>
          </cell>
          <cell r="EC3">
            <v>1.7500000000000002E-2</v>
          </cell>
          <cell r="ED3">
            <v>1.0800000000000001E-2</v>
          </cell>
          <cell r="EE3">
            <v>1.9699999999999999E-2</v>
          </cell>
          <cell r="EF3">
            <v>1.49E-2</v>
          </cell>
          <cell r="EG3">
            <v>1.7500000000000002E-2</v>
          </cell>
          <cell r="EH3">
            <v>1.0800000000000001E-2</v>
          </cell>
          <cell r="EI3">
            <v>3.5200000000000002E-2</v>
          </cell>
          <cell r="EJ3">
            <v>3.1699999999999999E-2</v>
          </cell>
          <cell r="EK3">
            <v>3.1099999999999999E-2</v>
          </cell>
          <cell r="EL3">
            <v>2.76E-2</v>
          </cell>
          <cell r="EM3">
            <v>2.18E-2</v>
          </cell>
          <cell r="EN3">
            <v>1.83E-2</v>
          </cell>
          <cell r="EO3">
            <v>1.9300000000000001E-2</v>
          </cell>
          <cell r="EP3">
            <v>1.5800000000000002E-2</v>
          </cell>
          <cell r="EQ3">
            <v>2.18E-2</v>
          </cell>
          <cell r="ER3">
            <v>1.83E-2</v>
          </cell>
          <cell r="ES3">
            <v>1.9300000000000001E-2</v>
          </cell>
          <cell r="ET3">
            <v>1.5800000000000002E-2</v>
          </cell>
          <cell r="EU3">
            <v>2.3699999999999999E-2</v>
          </cell>
          <cell r="EV3">
            <v>1.7899999999999999E-2</v>
          </cell>
          <cell r="EW3">
            <v>2.1000000000000001E-2</v>
          </cell>
          <cell r="EX3">
            <v>1.2999999999999999E-2</v>
          </cell>
          <cell r="EY3">
            <v>2.6100000000000002E-2</v>
          </cell>
          <cell r="EZ3">
            <v>1.7899999999999999E-2</v>
          </cell>
          <cell r="FA3">
            <v>1.9699999999999999E-2</v>
          </cell>
          <cell r="FB3">
            <v>1.49E-2</v>
          </cell>
          <cell r="FC3">
            <v>1.7500000000000002E-2</v>
          </cell>
          <cell r="FD3">
            <v>1.0800000000000001E-2</v>
          </cell>
          <cell r="FE3">
            <v>1.9699999999999999E-2</v>
          </cell>
          <cell r="FF3">
            <v>1.49E-2</v>
          </cell>
          <cell r="FG3">
            <v>1.7500000000000002E-2</v>
          </cell>
          <cell r="FH3">
            <v>1.0800000000000001E-2</v>
          </cell>
          <cell r="FI3">
            <v>3.1993000000000001E-2</v>
          </cell>
          <cell r="FJ3">
            <v>2.7601803921568628E-2</v>
          </cell>
          <cell r="FK3">
            <v>2.9899999999999999E-2</v>
          </cell>
          <cell r="FL3">
            <v>2.5032558139534884E-2</v>
          </cell>
          <cell r="FM3">
            <v>3.1993000000000001E-2</v>
          </cell>
          <cell r="FN3">
            <v>2.7601803921568628E-2</v>
          </cell>
          <cell r="FO3">
            <v>2.9899999999999999E-2</v>
          </cell>
          <cell r="FP3">
            <v>2.5032558139534884E-2</v>
          </cell>
          <cell r="FQ3">
            <v>2.9899999999999999E-2</v>
          </cell>
          <cell r="FR3">
            <v>2.3199999999999998E-2</v>
          </cell>
          <cell r="FS3">
            <v>2.3400000000000001E-2</v>
          </cell>
          <cell r="FT3">
            <v>1.5699999999999999E-2</v>
          </cell>
          <cell r="FU3">
            <v>3.2899999999999999E-2</v>
          </cell>
          <cell r="FV3">
            <v>2.41E-2</v>
          </cell>
          <cell r="FW3">
            <v>2.5899999999999999E-2</v>
          </cell>
          <cell r="FX3">
            <v>2.01E-2</v>
          </cell>
          <cell r="FY3">
            <v>2.0299999999999999E-2</v>
          </cell>
          <cell r="FZ3">
            <v>1.3599999999999999E-2</v>
          </cell>
          <cell r="GA3">
            <v>2.5899999999999999E-2</v>
          </cell>
          <cell r="GB3">
            <v>2.01E-2</v>
          </cell>
          <cell r="GC3">
            <v>2.0299999999999999E-2</v>
          </cell>
          <cell r="GD3">
            <v>1.3599999999999999E-2</v>
          </cell>
          <cell r="GE3">
            <v>2.8248000000000002E-2</v>
          </cell>
          <cell r="GF3">
            <v>2.2483102040816327E-2</v>
          </cell>
          <cell r="GG3">
            <v>2.64E-2</v>
          </cell>
          <cell r="GH3">
            <v>2.0507142857142856E-2</v>
          </cell>
          <cell r="GI3">
            <v>2.8248000000000002E-2</v>
          </cell>
          <cell r="GJ3">
            <v>2.2483102040816327E-2</v>
          </cell>
          <cell r="GK3">
            <v>2.64E-2</v>
          </cell>
          <cell r="GL3">
            <v>2.0507142857142856E-2</v>
          </cell>
          <cell r="GM3">
            <v>2.64E-2</v>
          </cell>
          <cell r="GN3">
            <v>1.9E-2</v>
          </cell>
          <cell r="GO3">
            <v>2.07E-2</v>
          </cell>
          <cell r="GP3">
            <v>1.29E-2</v>
          </cell>
          <cell r="GQ3">
            <v>2.9000000000000001E-2</v>
          </cell>
          <cell r="GR3">
            <v>1.9800000000000002E-2</v>
          </cell>
          <cell r="GS3">
            <v>1.8800000000000001E-2</v>
          </cell>
          <cell r="GT3">
            <v>1.29E-2</v>
          </cell>
          <cell r="GU3">
            <v>1.4800000000000001E-2</v>
          </cell>
          <cell r="GV3">
            <v>8.6999999999999994E-3</v>
          </cell>
          <cell r="GW3">
            <v>1.8800000000000001E-2</v>
          </cell>
          <cell r="GX3">
            <v>1.29E-2</v>
          </cell>
          <cell r="GY3">
            <v>1.4800000000000001E-2</v>
          </cell>
          <cell r="GZ3">
            <v>8.6999999999999994E-3</v>
          </cell>
          <cell r="HA3">
            <v>2.5252E-2</v>
          </cell>
          <cell r="HB3">
            <v>2.00985306122449E-2</v>
          </cell>
          <cell r="HC3">
            <v>2.3599999999999999E-2</v>
          </cell>
          <cell r="HD3">
            <v>1.8332142857142856E-2</v>
          </cell>
          <cell r="HE3">
            <v>2.5252E-2</v>
          </cell>
          <cell r="HF3">
            <v>2.00985306122449E-2</v>
          </cell>
          <cell r="HG3">
            <v>2.3599999999999999E-2</v>
          </cell>
          <cell r="HH3">
            <v>1.8332142857142856E-2</v>
          </cell>
          <cell r="HI3">
            <v>2.3599999999999999E-2</v>
          </cell>
          <cell r="HJ3">
            <v>1.7000000000000001E-2</v>
          </cell>
          <cell r="HK3">
            <v>1.8499999999999999E-2</v>
          </cell>
          <cell r="HL3">
            <v>1.15E-2</v>
          </cell>
          <cell r="HM3">
            <v>2.5899999999999999E-2</v>
          </cell>
          <cell r="HN3">
            <v>1.77E-2</v>
          </cell>
          <cell r="HO3">
            <v>2.0400000000000001E-2</v>
          </cell>
          <cell r="HP3">
            <v>1.47E-2</v>
          </cell>
          <cell r="HQ3">
            <v>1.6E-2</v>
          </cell>
          <cell r="HR3">
            <v>0.01</v>
          </cell>
          <cell r="HS3">
            <v>2.0400000000000001E-2</v>
          </cell>
          <cell r="HT3">
            <v>1.47E-2</v>
          </cell>
          <cell r="HU3">
            <v>1.6E-2</v>
          </cell>
          <cell r="HV3">
            <v>0.01</v>
          </cell>
          <cell r="HW3" t="str">
            <v>%PPL</v>
          </cell>
        </row>
        <row r="4">
          <cell r="D4" t="str">
            <v>GPP 3.0 PPA DIS (Distributor)</v>
          </cell>
          <cell r="E4" t="str">
            <v>NAM-GPP 3.0 / SPAAP / Global Alliance</v>
          </cell>
          <cell r="F4" t="str">
            <v>LATAM-GPP 3.0 / SPAAP / Global Alliance</v>
          </cell>
          <cell r="G4" t="str">
            <v>Europe-GPP 3.0 / SPAAP / Global Alliance</v>
          </cell>
          <cell r="H4" t="str">
            <v>MEA-GPP 3.0 / SPAAP / Global Alliance</v>
          </cell>
          <cell r="I4" t="str">
            <v>APJ-GPP 3.0 / SPAAP / Global Alliance</v>
          </cell>
          <cell r="J4" t="str">
            <v>APJ-GPP 3.0 / SPAAP / Global Alliance</v>
          </cell>
          <cell r="K4" t="str">
            <v>APJ-GPP 3.0 / SPAAP / Global Alliance</v>
          </cell>
          <cell r="L4" t="str">
            <v>GPP3_PPA_DIS</v>
          </cell>
          <cell r="N4" t="str">
            <v>Technical Support Gold &amp; Advanced Echange</v>
          </cell>
          <cell r="O4">
            <v>8</v>
          </cell>
          <cell r="X4" t="str">
            <v>Europe</v>
          </cell>
          <cell r="Y4" t="str">
            <v>EUROPE</v>
          </cell>
          <cell r="AC4" t="str">
            <v>PTD-GPP 1.0 CPA</v>
          </cell>
          <cell r="AD4" t="str">
            <v>Expert</v>
          </cell>
          <cell r="AE4">
            <v>0.16</v>
          </cell>
          <cell r="AF4" t="str">
            <v>PTD-GPP 1.0 CPA-Expert</v>
          </cell>
          <cell r="AK4" t="str">
            <v>EUROPE-CPA</v>
          </cell>
          <cell r="AL4" t="str">
            <v>EUROPE_CPA_TS_GLD_RFE</v>
          </cell>
          <cell r="AM4" t="str">
            <v>EUROPE_CPA_TS_GLD_RFE_FY</v>
          </cell>
          <cell r="AR4" t="str">
            <v>EUROPE_CPA_TS_BZE_RFE</v>
          </cell>
          <cell r="AS4" t="str">
            <v>EUROPE_CPA_TS_BZE_RFE_FY</v>
          </cell>
          <cell r="AV4" t="str">
            <v>7210 SAS-K</v>
          </cell>
          <cell r="AW4">
            <v>0.45</v>
          </cell>
          <cell r="AX4">
            <v>0.4</v>
          </cell>
          <cell r="AY4">
            <v>0.5</v>
          </cell>
          <cell r="AZ4">
            <v>0.4</v>
          </cell>
          <cell r="BA4">
            <v>0.311</v>
          </cell>
          <cell r="BB4">
            <v>0.5</v>
          </cell>
          <cell r="BC4">
            <v>0.4</v>
          </cell>
          <cell r="BD4">
            <v>0.311</v>
          </cell>
          <cell r="BE4">
            <v>0.5</v>
          </cell>
          <cell r="BF4">
            <v>0.45</v>
          </cell>
          <cell r="BG4">
            <v>0.45</v>
          </cell>
          <cell r="BH4">
            <v>0.5</v>
          </cell>
          <cell r="BI4">
            <v>0.45</v>
          </cell>
          <cell r="BJ4">
            <v>0.5</v>
          </cell>
          <cell r="BK4">
            <v>2.5000000000000001E-2</v>
          </cell>
          <cell r="BL4" t="str">
            <v>%PMP</v>
          </cell>
          <cell r="BM4">
            <v>2.8043362500000002E-2</v>
          </cell>
          <cell r="BN4">
            <v>2.06E-2</v>
          </cell>
          <cell r="BO4">
            <v>2.6208749999999999E-2</v>
          </cell>
          <cell r="BP4">
            <v>1.54E-2</v>
          </cell>
          <cell r="BQ4">
            <v>2.8043362500000002E-2</v>
          </cell>
          <cell r="BR4">
            <v>2.06E-2</v>
          </cell>
          <cell r="BS4">
            <v>2.6208749999999999E-2</v>
          </cell>
          <cell r="BT4">
            <v>1.54E-2</v>
          </cell>
          <cell r="BU4">
            <v>2.6208749999999999E-2</v>
          </cell>
          <cell r="BV4">
            <v>1.5681750000000001E-2</v>
          </cell>
          <cell r="BW4">
            <v>2.0553749999999999E-2</v>
          </cell>
          <cell r="BX4">
            <v>1.0048499999999998E-2</v>
          </cell>
          <cell r="BY4">
            <v>2.8829625000000001E-2</v>
          </cell>
          <cell r="BZ4">
            <v>1.84820625E-2</v>
          </cell>
          <cell r="CA4">
            <v>2.0967E-2</v>
          </cell>
          <cell r="CB4">
            <v>1.25454E-2</v>
          </cell>
          <cell r="CC4">
            <v>1.6442999999999999E-2</v>
          </cell>
          <cell r="CD4">
            <v>8.0388000000000005E-3</v>
          </cell>
          <cell r="CE4">
            <v>2.0967E-2</v>
          </cell>
          <cell r="CF4">
            <v>1.25454E-2</v>
          </cell>
          <cell r="CG4">
            <v>1.6442999999999999E-2</v>
          </cell>
          <cell r="CH4">
            <v>8.0388000000000005E-3</v>
          </cell>
          <cell r="CI4">
            <v>2.6297889491126471E-2</v>
          </cell>
          <cell r="CJ4">
            <v>1.95E-2</v>
          </cell>
          <cell r="CK4">
            <v>2.4577466814136886E-2</v>
          </cell>
          <cell r="CL4">
            <v>1.66E-2</v>
          </cell>
          <cell r="CM4">
            <v>2.6297889491126471E-2</v>
          </cell>
          <cell r="CN4">
            <v>1.95E-2</v>
          </cell>
          <cell r="CO4">
            <v>2.4577466814136886E-2</v>
          </cell>
          <cell r="CP4">
            <v>1.66E-2</v>
          </cell>
          <cell r="CQ4">
            <v>2.4577466814136886E-2</v>
          </cell>
          <cell r="CR4">
            <v>1.4586192261433413E-2</v>
          </cell>
          <cell r="CS4">
            <v>2.1478568824528324E-2</v>
          </cell>
          <cell r="CT4">
            <v>1.0643111716034931E-2</v>
          </cell>
          <cell r="CU4">
            <v>2.7035213495550579E-2</v>
          </cell>
          <cell r="CV4">
            <v>1.7190869450975102E-2</v>
          </cell>
          <cell r="CW4">
            <v>1.966197345130951E-2</v>
          </cell>
          <cell r="CX4">
            <v>1.1668953809146733E-2</v>
          </cell>
          <cell r="CY4">
            <v>1.7182855059622658E-2</v>
          </cell>
          <cell r="CZ4">
            <v>8.5144893728279439E-3</v>
          </cell>
          <cell r="DA4">
            <v>1.966197345130951E-2</v>
          </cell>
          <cell r="DB4">
            <v>1.1668953809146733E-2</v>
          </cell>
          <cell r="DC4">
            <v>1.7182855059622658E-2</v>
          </cell>
          <cell r="DD4">
            <v>8.5144893728279439E-3</v>
          </cell>
          <cell r="DE4">
            <v>2.18E-2</v>
          </cell>
          <cell r="DF4">
            <v>1.83E-2</v>
          </cell>
          <cell r="DG4">
            <v>1.9300000000000001E-2</v>
          </cell>
          <cell r="DH4">
            <v>1.5800000000000002E-2</v>
          </cell>
          <cell r="DI4">
            <v>3.9100000000000003E-2</v>
          </cell>
          <cell r="DJ4">
            <v>3.56E-2</v>
          </cell>
          <cell r="DK4">
            <v>3.4599999999999999E-2</v>
          </cell>
          <cell r="DL4">
            <v>3.1099999999999999E-2</v>
          </cell>
          <cell r="DM4">
            <v>2.18E-2</v>
          </cell>
          <cell r="DN4">
            <v>1.83E-2</v>
          </cell>
          <cell r="DO4">
            <v>1.9300000000000001E-2</v>
          </cell>
          <cell r="DP4">
            <v>1.5800000000000002E-2</v>
          </cell>
          <cell r="DQ4">
            <v>2.18E-2</v>
          </cell>
          <cell r="DR4">
            <v>1.83E-2</v>
          </cell>
          <cell r="DS4">
            <v>1.9300000000000001E-2</v>
          </cell>
          <cell r="DT4">
            <v>1.5800000000000002E-2</v>
          </cell>
          <cell r="DU4">
            <v>2.3699999999999999E-2</v>
          </cell>
          <cell r="DV4">
            <v>1.7899999999999999E-2</v>
          </cell>
          <cell r="DW4">
            <v>2.1000000000000001E-2</v>
          </cell>
          <cell r="DX4">
            <v>1.2999999999999999E-2</v>
          </cell>
          <cell r="DY4">
            <v>2.6100000000000002E-2</v>
          </cell>
          <cell r="DZ4">
            <v>1.7899999999999999E-2</v>
          </cell>
          <cell r="EA4">
            <v>1.9699999999999999E-2</v>
          </cell>
          <cell r="EB4">
            <v>1.49E-2</v>
          </cell>
          <cell r="EC4">
            <v>1.7500000000000002E-2</v>
          </cell>
          <cell r="ED4">
            <v>1.0800000000000001E-2</v>
          </cell>
          <cell r="EE4">
            <v>1.9699999999999999E-2</v>
          </cell>
          <cell r="EF4">
            <v>1.49E-2</v>
          </cell>
          <cell r="EG4">
            <v>1.7500000000000002E-2</v>
          </cell>
          <cell r="EH4">
            <v>1.0800000000000001E-2</v>
          </cell>
          <cell r="EI4">
            <v>3.9100000000000003E-2</v>
          </cell>
          <cell r="EJ4">
            <v>3.56E-2</v>
          </cell>
          <cell r="EK4">
            <v>3.4599999999999999E-2</v>
          </cell>
          <cell r="EL4">
            <v>3.1099999999999999E-2</v>
          </cell>
          <cell r="EM4">
            <v>2.18E-2</v>
          </cell>
          <cell r="EN4">
            <v>1.83E-2</v>
          </cell>
          <cell r="EO4">
            <v>1.9300000000000001E-2</v>
          </cell>
          <cell r="EP4">
            <v>1.5800000000000002E-2</v>
          </cell>
          <cell r="EQ4">
            <v>2.18E-2</v>
          </cell>
          <cell r="ER4">
            <v>1.83E-2</v>
          </cell>
          <cell r="ES4">
            <v>1.9300000000000001E-2</v>
          </cell>
          <cell r="ET4">
            <v>1.5800000000000002E-2</v>
          </cell>
          <cell r="EU4">
            <v>2.3699999999999999E-2</v>
          </cell>
          <cell r="EV4">
            <v>1.7899999999999999E-2</v>
          </cell>
          <cell r="EW4">
            <v>2.1000000000000001E-2</v>
          </cell>
          <cell r="EX4">
            <v>1.2999999999999999E-2</v>
          </cell>
          <cell r="EY4">
            <v>2.6100000000000002E-2</v>
          </cell>
          <cell r="EZ4">
            <v>1.7899999999999999E-2</v>
          </cell>
          <cell r="FA4">
            <v>1.9699999999999999E-2</v>
          </cell>
          <cell r="FB4">
            <v>1.49E-2</v>
          </cell>
          <cell r="FC4">
            <v>1.7500000000000002E-2</v>
          </cell>
          <cell r="FD4">
            <v>1.0800000000000001E-2</v>
          </cell>
          <cell r="FE4">
            <v>1.9699999999999999E-2</v>
          </cell>
          <cell r="FF4">
            <v>1.49E-2</v>
          </cell>
          <cell r="FG4">
            <v>1.7500000000000002E-2</v>
          </cell>
          <cell r="FH4">
            <v>1.0800000000000001E-2</v>
          </cell>
          <cell r="FI4">
            <v>3.1993000000000001E-2</v>
          </cell>
          <cell r="FJ4">
            <v>2.7601803921568628E-2</v>
          </cell>
          <cell r="FK4">
            <v>2.9899999999999999E-2</v>
          </cell>
          <cell r="FL4">
            <v>2.5032558139534884E-2</v>
          </cell>
          <cell r="FM4">
            <v>3.1993000000000001E-2</v>
          </cell>
          <cell r="FN4">
            <v>2.7601803921568628E-2</v>
          </cell>
          <cell r="FO4">
            <v>2.9899999999999999E-2</v>
          </cell>
          <cell r="FP4">
            <v>2.5032558139534884E-2</v>
          </cell>
          <cell r="FQ4">
            <v>2.9899999999999999E-2</v>
          </cell>
          <cell r="FR4">
            <v>2.3199999999999998E-2</v>
          </cell>
          <cell r="FS4">
            <v>2.3400000000000001E-2</v>
          </cell>
          <cell r="FT4">
            <v>1.5699999999999999E-2</v>
          </cell>
          <cell r="FU4">
            <v>3.2899999999999999E-2</v>
          </cell>
          <cell r="FV4">
            <v>2.41E-2</v>
          </cell>
          <cell r="FW4">
            <v>2.5899999999999999E-2</v>
          </cell>
          <cell r="FX4">
            <v>2.01E-2</v>
          </cell>
          <cell r="FY4">
            <v>2.0299999999999999E-2</v>
          </cell>
          <cell r="FZ4">
            <v>1.3599999999999999E-2</v>
          </cell>
          <cell r="GA4">
            <v>2.5899999999999999E-2</v>
          </cell>
          <cell r="GB4">
            <v>2.01E-2</v>
          </cell>
          <cell r="GC4">
            <v>2.0299999999999999E-2</v>
          </cell>
          <cell r="GD4">
            <v>1.3599999999999999E-2</v>
          </cell>
          <cell r="GE4">
            <v>2.8248000000000002E-2</v>
          </cell>
          <cell r="GF4">
            <v>2.2483102040816327E-2</v>
          </cell>
          <cell r="GG4">
            <v>2.64E-2</v>
          </cell>
          <cell r="GH4">
            <v>2.0507142857142856E-2</v>
          </cell>
          <cell r="GI4">
            <v>2.8248000000000002E-2</v>
          </cell>
          <cell r="GJ4">
            <v>2.2483102040816327E-2</v>
          </cell>
          <cell r="GK4">
            <v>2.64E-2</v>
          </cell>
          <cell r="GL4">
            <v>2.0507142857142856E-2</v>
          </cell>
          <cell r="GM4">
            <v>2.64E-2</v>
          </cell>
          <cell r="GN4">
            <v>1.9E-2</v>
          </cell>
          <cell r="GO4">
            <v>2.07E-2</v>
          </cell>
          <cell r="GP4">
            <v>1.29E-2</v>
          </cell>
          <cell r="GQ4">
            <v>2.9000000000000001E-2</v>
          </cell>
          <cell r="GR4">
            <v>1.9800000000000002E-2</v>
          </cell>
          <cell r="GS4">
            <v>2.29E-2</v>
          </cell>
          <cell r="GT4">
            <v>1.6500000000000001E-2</v>
          </cell>
          <cell r="GU4">
            <v>1.7899999999999999E-2</v>
          </cell>
          <cell r="GV4">
            <v>1.11E-2</v>
          </cell>
          <cell r="GW4">
            <v>2.29E-2</v>
          </cell>
          <cell r="GX4">
            <v>1.6500000000000001E-2</v>
          </cell>
          <cell r="GY4">
            <v>1.7899999999999999E-2</v>
          </cell>
          <cell r="GZ4">
            <v>1.11E-2</v>
          </cell>
          <cell r="HA4">
            <v>2.5252E-2</v>
          </cell>
          <cell r="HB4">
            <v>2.00985306122449E-2</v>
          </cell>
          <cell r="HC4">
            <v>2.3599999999999999E-2</v>
          </cell>
          <cell r="HD4">
            <v>1.8332142857142856E-2</v>
          </cell>
          <cell r="HE4">
            <v>2.5252E-2</v>
          </cell>
          <cell r="HF4">
            <v>2.00985306122449E-2</v>
          </cell>
          <cell r="HG4">
            <v>2.3599999999999999E-2</v>
          </cell>
          <cell r="HH4">
            <v>1.8332142857142856E-2</v>
          </cell>
          <cell r="HI4">
            <v>2.3599999999999999E-2</v>
          </cell>
          <cell r="HJ4">
            <v>1.7000000000000001E-2</v>
          </cell>
          <cell r="HK4">
            <v>1.8499999999999999E-2</v>
          </cell>
          <cell r="HL4">
            <v>1.15E-2</v>
          </cell>
          <cell r="HM4">
            <v>2.5899999999999999E-2</v>
          </cell>
          <cell r="HN4">
            <v>1.77E-2</v>
          </cell>
          <cell r="HO4">
            <v>2.0400000000000001E-2</v>
          </cell>
          <cell r="HP4">
            <v>1.47E-2</v>
          </cell>
          <cell r="HQ4">
            <v>1.6E-2</v>
          </cell>
          <cell r="HR4">
            <v>0.01</v>
          </cell>
          <cell r="HS4">
            <v>2.0400000000000001E-2</v>
          </cell>
          <cell r="HT4">
            <v>1.47E-2</v>
          </cell>
          <cell r="HU4">
            <v>1.6E-2</v>
          </cell>
          <cell r="HV4">
            <v>0.01</v>
          </cell>
          <cell r="HW4" t="str">
            <v>%PPL</v>
          </cell>
        </row>
        <row r="5">
          <cell r="D5" t="str">
            <v>GPP 3.0 PPA DIS (Distributor) w DMA</v>
          </cell>
          <cell r="E5" t="str">
            <v>NAM-GPP 3.0 / SPAAP / Global Alliance</v>
          </cell>
          <cell r="F5" t="str">
            <v>LATAM-GPP 3.0 / SPAAP / Global Alliance</v>
          </cell>
          <cell r="G5" t="str">
            <v>Europe-GPP 3.0 / SPAAP / Global Alliance</v>
          </cell>
          <cell r="H5" t="str">
            <v>MEA-GPP 3.0 / SPAAP / Global Alliance</v>
          </cell>
          <cell r="I5" t="str">
            <v>APJ-GPP 3.0 / SPAAP / Global Alliance</v>
          </cell>
          <cell r="J5" t="str">
            <v>APJ-GPP 3.0 / SPAAP / Global Alliance</v>
          </cell>
          <cell r="K5" t="str">
            <v>APJ-GPP 3.0 / SPAAP / Global Alliance</v>
          </cell>
          <cell r="L5" t="str">
            <v>GPP3_PPA_DIS_DMA</v>
          </cell>
          <cell r="N5" t="str">
            <v>Technical Support Bronze &amp; Return for Exchange</v>
          </cell>
          <cell r="O5">
            <v>10</v>
          </cell>
          <cell r="X5" t="str">
            <v>Middle East Africa</v>
          </cell>
          <cell r="Y5" t="str">
            <v>MEA</v>
          </cell>
          <cell r="AC5" t="str">
            <v>PTD-ALE GPP 1.0 CPA</v>
          </cell>
          <cell r="AD5" t="str">
            <v>ALE</v>
          </cell>
          <cell r="AE5">
            <v>0.09</v>
          </cell>
          <cell r="AF5" t="str">
            <v>PTD-ALE GPP 1.0 CPA-ALE</v>
          </cell>
          <cell r="AK5" t="str">
            <v>MEA-CPA</v>
          </cell>
          <cell r="AL5" t="str">
            <v>MEA_CPA_TS_GLD_RFE</v>
          </cell>
          <cell r="AM5" t="str">
            <v>MEA_CPA_TS_GLD_RFE_FY</v>
          </cell>
          <cell r="AR5" t="str">
            <v>MEA_CPA_TS_BZE_RFE</v>
          </cell>
          <cell r="AS5" t="str">
            <v>MEA_CPA_TS_BZE_RFE_FY</v>
          </cell>
          <cell r="AV5" t="str">
            <v>7210 SAS-M</v>
          </cell>
          <cell r="AW5">
            <v>0.6</v>
          </cell>
          <cell r="AX5">
            <v>0.45</v>
          </cell>
          <cell r="AY5">
            <v>0.5</v>
          </cell>
          <cell r="AZ5">
            <v>0.6</v>
          </cell>
          <cell r="BA5">
            <v>0.54100000000000004</v>
          </cell>
          <cell r="BB5">
            <v>0.5</v>
          </cell>
          <cell r="BC5">
            <v>0.6</v>
          </cell>
          <cell r="BD5">
            <v>0.54100000000000004</v>
          </cell>
          <cell r="BE5">
            <v>0.5</v>
          </cell>
          <cell r="BF5">
            <v>0.45</v>
          </cell>
          <cell r="BG5">
            <v>0.45</v>
          </cell>
          <cell r="BH5">
            <v>0.5</v>
          </cell>
          <cell r="BI5">
            <v>0.49</v>
          </cell>
          <cell r="BJ5">
            <v>0.5</v>
          </cell>
          <cell r="BK5">
            <v>2.5000000000000001E-2</v>
          </cell>
          <cell r="BL5" t="str">
            <v>%PMP</v>
          </cell>
          <cell r="BM5">
            <v>2.8043362500000002E-2</v>
          </cell>
          <cell r="BN5">
            <v>2.06E-2</v>
          </cell>
          <cell r="BO5">
            <v>2.6208749999999999E-2</v>
          </cell>
          <cell r="BP5">
            <v>1.54E-2</v>
          </cell>
          <cell r="BQ5">
            <v>2.8043362500000002E-2</v>
          </cell>
          <cell r="BR5">
            <v>2.06E-2</v>
          </cell>
          <cell r="BS5">
            <v>2.6208749999999999E-2</v>
          </cell>
          <cell r="BT5">
            <v>1.54E-2</v>
          </cell>
          <cell r="BU5">
            <v>2.6208749999999999E-2</v>
          </cell>
          <cell r="BV5">
            <v>1.5681750000000001E-2</v>
          </cell>
          <cell r="BW5">
            <v>2.0553749999999999E-2</v>
          </cell>
          <cell r="BX5">
            <v>1.0048499999999998E-2</v>
          </cell>
          <cell r="BY5">
            <v>2.8829625000000001E-2</v>
          </cell>
          <cell r="BZ5">
            <v>1.84820625E-2</v>
          </cell>
          <cell r="CA5">
            <v>2.0967E-2</v>
          </cell>
          <cell r="CB5">
            <v>1.25454E-2</v>
          </cell>
          <cell r="CC5">
            <v>1.6442999999999999E-2</v>
          </cell>
          <cell r="CD5">
            <v>8.0388000000000005E-3</v>
          </cell>
          <cell r="CE5">
            <v>2.0967E-2</v>
          </cell>
          <cell r="CF5">
            <v>1.25454E-2</v>
          </cell>
          <cell r="CG5">
            <v>1.6442999999999999E-2</v>
          </cell>
          <cell r="CH5">
            <v>8.0388000000000005E-3</v>
          </cell>
          <cell r="CI5">
            <v>2.6297889491126471E-2</v>
          </cell>
          <cell r="CJ5">
            <v>1.95E-2</v>
          </cell>
          <cell r="CK5">
            <v>2.4577466814136886E-2</v>
          </cell>
          <cell r="CL5">
            <v>1.66E-2</v>
          </cell>
          <cell r="CM5">
            <v>2.6297889491126471E-2</v>
          </cell>
          <cell r="CN5">
            <v>1.95E-2</v>
          </cell>
          <cell r="CO5">
            <v>2.4577466814136886E-2</v>
          </cell>
          <cell r="CP5">
            <v>1.66E-2</v>
          </cell>
          <cell r="CQ5">
            <v>2.4577466814136886E-2</v>
          </cell>
          <cell r="CR5">
            <v>1.4586192261433413E-2</v>
          </cell>
          <cell r="CS5">
            <v>2.1478568824528324E-2</v>
          </cell>
          <cell r="CT5">
            <v>1.0643111716034931E-2</v>
          </cell>
          <cell r="CU5">
            <v>2.7035213495550579E-2</v>
          </cell>
          <cell r="CV5">
            <v>1.7190869450975102E-2</v>
          </cell>
          <cell r="CW5">
            <v>1.966197345130951E-2</v>
          </cell>
          <cell r="CX5">
            <v>1.1668953809146733E-2</v>
          </cell>
          <cell r="CY5">
            <v>1.7182855059622658E-2</v>
          </cell>
          <cell r="CZ5">
            <v>8.5144893728279439E-3</v>
          </cell>
          <cell r="DA5">
            <v>1.966197345130951E-2</v>
          </cell>
          <cell r="DB5">
            <v>1.1668953809146733E-2</v>
          </cell>
          <cell r="DC5">
            <v>1.7182855059622658E-2</v>
          </cell>
          <cell r="DD5">
            <v>8.5144893728279439E-3</v>
          </cell>
          <cell r="DE5">
            <v>2.18E-2</v>
          </cell>
          <cell r="DF5">
            <v>1.83E-2</v>
          </cell>
          <cell r="DG5">
            <v>1.9300000000000001E-2</v>
          </cell>
          <cell r="DH5">
            <v>1.5800000000000002E-2</v>
          </cell>
          <cell r="DI5">
            <v>3.1300000000000001E-2</v>
          </cell>
          <cell r="DJ5">
            <v>2.7799999999999998E-2</v>
          </cell>
          <cell r="DK5">
            <v>2.7699999999999999E-2</v>
          </cell>
          <cell r="DL5">
            <v>2.4199999999999999E-2</v>
          </cell>
          <cell r="DM5">
            <v>2.18E-2</v>
          </cell>
          <cell r="DN5">
            <v>1.83E-2</v>
          </cell>
          <cell r="DO5">
            <v>1.9300000000000001E-2</v>
          </cell>
          <cell r="DP5">
            <v>1.5800000000000002E-2</v>
          </cell>
          <cell r="DQ5">
            <v>2.18E-2</v>
          </cell>
          <cell r="DR5">
            <v>1.83E-2</v>
          </cell>
          <cell r="DS5">
            <v>1.9300000000000001E-2</v>
          </cell>
          <cell r="DT5">
            <v>1.5800000000000002E-2</v>
          </cell>
          <cell r="DU5">
            <v>2.3699999999999999E-2</v>
          </cell>
          <cell r="DV5">
            <v>1.7899999999999999E-2</v>
          </cell>
          <cell r="DW5">
            <v>2.1000000000000001E-2</v>
          </cell>
          <cell r="DX5">
            <v>1.2999999999999999E-2</v>
          </cell>
          <cell r="DY5">
            <v>2.6100000000000002E-2</v>
          </cell>
          <cell r="DZ5">
            <v>1.7899999999999999E-2</v>
          </cell>
          <cell r="EA5">
            <v>1.9699999999999999E-2</v>
          </cell>
          <cell r="EB5">
            <v>1.49E-2</v>
          </cell>
          <cell r="EC5">
            <v>1.7500000000000002E-2</v>
          </cell>
          <cell r="ED5">
            <v>1.0800000000000001E-2</v>
          </cell>
          <cell r="EE5">
            <v>1.9699999999999999E-2</v>
          </cell>
          <cell r="EF5">
            <v>1.49E-2</v>
          </cell>
          <cell r="EG5">
            <v>1.7500000000000002E-2</v>
          </cell>
          <cell r="EH5">
            <v>1.0800000000000001E-2</v>
          </cell>
          <cell r="EI5">
            <v>3.1300000000000001E-2</v>
          </cell>
          <cell r="EJ5">
            <v>2.7799999999999998E-2</v>
          </cell>
          <cell r="EK5">
            <v>2.7699999999999999E-2</v>
          </cell>
          <cell r="EL5">
            <v>2.4199999999999999E-2</v>
          </cell>
          <cell r="EM5">
            <v>2.18E-2</v>
          </cell>
          <cell r="EN5">
            <v>1.83E-2</v>
          </cell>
          <cell r="EO5">
            <v>1.9300000000000001E-2</v>
          </cell>
          <cell r="EP5">
            <v>1.5800000000000002E-2</v>
          </cell>
          <cell r="EQ5">
            <v>2.18E-2</v>
          </cell>
          <cell r="ER5">
            <v>1.83E-2</v>
          </cell>
          <cell r="ES5">
            <v>1.9300000000000001E-2</v>
          </cell>
          <cell r="ET5">
            <v>1.5800000000000002E-2</v>
          </cell>
          <cell r="EU5">
            <v>2.3699999999999999E-2</v>
          </cell>
          <cell r="EV5">
            <v>1.7899999999999999E-2</v>
          </cell>
          <cell r="EW5">
            <v>2.1000000000000001E-2</v>
          </cell>
          <cell r="EX5">
            <v>1.2999999999999999E-2</v>
          </cell>
          <cell r="EY5">
            <v>2.6100000000000002E-2</v>
          </cell>
          <cell r="EZ5">
            <v>1.7899999999999999E-2</v>
          </cell>
          <cell r="FA5">
            <v>1.9699999999999999E-2</v>
          </cell>
          <cell r="FB5">
            <v>1.49E-2</v>
          </cell>
          <cell r="FC5">
            <v>1.7500000000000002E-2</v>
          </cell>
          <cell r="FD5">
            <v>1.0800000000000001E-2</v>
          </cell>
          <cell r="FE5">
            <v>1.9699999999999999E-2</v>
          </cell>
          <cell r="FF5">
            <v>1.49E-2</v>
          </cell>
          <cell r="FG5">
            <v>1.7500000000000002E-2</v>
          </cell>
          <cell r="FH5">
            <v>1.0800000000000001E-2</v>
          </cell>
          <cell r="FI5">
            <v>3.1993000000000001E-2</v>
          </cell>
          <cell r="FJ5">
            <v>2.7601803921568628E-2</v>
          </cell>
          <cell r="FK5">
            <v>2.9899999999999999E-2</v>
          </cell>
          <cell r="FL5">
            <v>2.5032558139534884E-2</v>
          </cell>
          <cell r="FM5">
            <v>3.1993000000000001E-2</v>
          </cell>
          <cell r="FN5">
            <v>2.7601803921568628E-2</v>
          </cell>
          <cell r="FO5">
            <v>2.9899999999999999E-2</v>
          </cell>
          <cell r="FP5">
            <v>2.5032558139534884E-2</v>
          </cell>
          <cell r="FQ5">
            <v>2.9899999999999999E-2</v>
          </cell>
          <cell r="FR5">
            <v>2.3199999999999998E-2</v>
          </cell>
          <cell r="FS5">
            <v>2.3400000000000001E-2</v>
          </cell>
          <cell r="FT5">
            <v>1.5699999999999999E-2</v>
          </cell>
          <cell r="FU5">
            <v>3.2899999999999999E-2</v>
          </cell>
          <cell r="FV5">
            <v>2.41E-2</v>
          </cell>
          <cell r="FW5">
            <v>2.5899999999999999E-2</v>
          </cell>
          <cell r="FX5">
            <v>2.01E-2</v>
          </cell>
          <cell r="FY5">
            <v>2.0299999999999999E-2</v>
          </cell>
          <cell r="FZ5">
            <v>1.3599999999999999E-2</v>
          </cell>
          <cell r="GA5">
            <v>2.5899999999999999E-2</v>
          </cell>
          <cell r="GB5">
            <v>2.01E-2</v>
          </cell>
          <cell r="GC5">
            <v>2.0299999999999999E-2</v>
          </cell>
          <cell r="GD5">
            <v>1.3599999999999999E-2</v>
          </cell>
          <cell r="GE5">
            <v>2.8248000000000002E-2</v>
          </cell>
          <cell r="GF5">
            <v>2.2483102040816327E-2</v>
          </cell>
          <cell r="GG5">
            <v>2.64E-2</v>
          </cell>
          <cell r="GH5">
            <v>2.0507142857142856E-2</v>
          </cell>
          <cell r="GI5">
            <v>2.8248000000000002E-2</v>
          </cell>
          <cell r="GJ5">
            <v>2.2483102040816327E-2</v>
          </cell>
          <cell r="GK5">
            <v>2.64E-2</v>
          </cell>
          <cell r="GL5">
            <v>2.0507142857142856E-2</v>
          </cell>
          <cell r="GM5">
            <v>2.64E-2</v>
          </cell>
          <cell r="GN5">
            <v>1.9E-2</v>
          </cell>
          <cell r="GO5">
            <v>2.07E-2</v>
          </cell>
          <cell r="GP5">
            <v>1.29E-2</v>
          </cell>
          <cell r="GQ5">
            <v>2.9000000000000001E-2</v>
          </cell>
          <cell r="GR5">
            <v>1.9800000000000002E-2</v>
          </cell>
          <cell r="GS5">
            <v>2.29E-2</v>
          </cell>
          <cell r="GT5">
            <v>1.6500000000000001E-2</v>
          </cell>
          <cell r="GU5">
            <v>1.7899999999999999E-2</v>
          </cell>
          <cell r="GV5">
            <v>1.11E-2</v>
          </cell>
          <cell r="GW5">
            <v>2.29E-2</v>
          </cell>
          <cell r="GX5">
            <v>1.6500000000000001E-2</v>
          </cell>
          <cell r="GY5">
            <v>1.7899999999999999E-2</v>
          </cell>
          <cell r="GZ5">
            <v>1.11E-2</v>
          </cell>
          <cell r="HA5">
            <v>2.5252E-2</v>
          </cell>
          <cell r="HB5">
            <v>2.00985306122449E-2</v>
          </cell>
          <cell r="HC5">
            <v>2.3599999999999999E-2</v>
          </cell>
          <cell r="HD5">
            <v>1.8332142857142856E-2</v>
          </cell>
          <cell r="HE5">
            <v>2.5252E-2</v>
          </cell>
          <cell r="HF5">
            <v>2.00985306122449E-2</v>
          </cell>
          <cell r="HG5">
            <v>2.3599999999999999E-2</v>
          </cell>
          <cell r="HH5">
            <v>1.8332142857142856E-2</v>
          </cell>
          <cell r="HI5">
            <v>2.3599999999999999E-2</v>
          </cell>
          <cell r="HJ5">
            <v>1.7000000000000001E-2</v>
          </cell>
          <cell r="HK5">
            <v>1.8499999999999999E-2</v>
          </cell>
          <cell r="HL5">
            <v>1.15E-2</v>
          </cell>
          <cell r="HM5">
            <v>2.5899999999999999E-2</v>
          </cell>
          <cell r="HN5">
            <v>1.77E-2</v>
          </cell>
          <cell r="HO5">
            <v>2.0400000000000001E-2</v>
          </cell>
          <cell r="HP5">
            <v>1.47E-2</v>
          </cell>
          <cell r="HQ5">
            <v>1.6E-2</v>
          </cell>
          <cell r="HR5">
            <v>0.01</v>
          </cell>
          <cell r="HS5">
            <v>2.0400000000000001E-2</v>
          </cell>
          <cell r="HT5">
            <v>1.47E-2</v>
          </cell>
          <cell r="HU5">
            <v>1.6E-2</v>
          </cell>
          <cell r="HV5">
            <v>0.01</v>
          </cell>
          <cell r="HW5" t="str">
            <v>%PPL</v>
          </cell>
        </row>
        <row r="6">
          <cell r="D6" t="str">
            <v>GPP 1.0 CPA</v>
          </cell>
          <cell r="E6" t="e">
            <v>#N/A</v>
          </cell>
          <cell r="F6" t="str">
            <v>LATAM-GPP 1.0 CPA</v>
          </cell>
          <cell r="G6" t="str">
            <v>Europe-GPP 1.0 CPA</v>
          </cell>
          <cell r="H6" t="str">
            <v>MEA-GPP 1.0 CPA</v>
          </cell>
          <cell r="I6" t="str">
            <v>APJ-GPP 1.0 CPA</v>
          </cell>
          <cell r="J6" t="str">
            <v>APJ-GPP 1.0 CPA</v>
          </cell>
          <cell r="K6" t="str">
            <v>APJ-GPP 1.0 CPA</v>
          </cell>
          <cell r="L6" t="str">
            <v>GPP1_CPA</v>
          </cell>
          <cell r="X6" t="str">
            <v>APJ Cluster A (Australia, New Zealand, Japan, Hong Kong / Macau)</v>
          </cell>
          <cell r="Y6" t="str">
            <v>APJ-A</v>
          </cell>
          <cell r="AC6" t="str">
            <v>PTD-GPP 3.0 PPA RES (Reseller)</v>
          </cell>
          <cell r="AD6" t="str">
            <v>Authorized</v>
          </cell>
          <cell r="AE6">
            <v>0.05</v>
          </cell>
          <cell r="AF6" t="str">
            <v>PTD-GPP 3.0 PPA RES (Reseller)-Authorized</v>
          </cell>
          <cell r="AK6" t="str">
            <v>APJ-A-CPA</v>
          </cell>
          <cell r="AL6" t="str">
            <v>APJ-A_STD_TS_GLD_RFE</v>
          </cell>
          <cell r="AM6" t="str">
            <v>APJ-A_STD_TS_GLD_RFE_FY</v>
          </cell>
          <cell r="AR6" t="str">
            <v>APJ-A_STD_TS_BZE_RFE</v>
          </cell>
          <cell r="AS6" t="str">
            <v>APJ-A_STD_TS_BZE_RFE_FY</v>
          </cell>
          <cell r="AV6" t="str">
            <v>7210 SAS-Mxp</v>
          </cell>
          <cell r="AW6">
            <v>0.6</v>
          </cell>
          <cell r="AX6">
            <v>0.5</v>
          </cell>
          <cell r="AY6">
            <v>0.5</v>
          </cell>
          <cell r="AZ6">
            <v>0.62</v>
          </cell>
          <cell r="BA6">
            <v>0.56399999999999995</v>
          </cell>
          <cell r="BB6">
            <v>0.5</v>
          </cell>
          <cell r="BC6">
            <v>0.62</v>
          </cell>
          <cell r="BD6">
            <v>0.56399999999999995</v>
          </cell>
          <cell r="BE6">
            <v>0.5</v>
          </cell>
          <cell r="BF6">
            <v>0.5</v>
          </cell>
          <cell r="BG6">
            <v>0.45</v>
          </cell>
          <cell r="BH6">
            <v>0.5</v>
          </cell>
          <cell r="BI6">
            <v>0.5</v>
          </cell>
          <cell r="BJ6">
            <v>0.5</v>
          </cell>
          <cell r="BK6">
            <v>2.5000000000000001E-2</v>
          </cell>
          <cell r="BL6" t="str">
            <v>%PMP</v>
          </cell>
          <cell r="BM6">
            <v>2.8043362500000002E-2</v>
          </cell>
          <cell r="BN6">
            <v>2.06E-2</v>
          </cell>
          <cell r="BO6">
            <v>2.6208749999999999E-2</v>
          </cell>
          <cell r="BP6">
            <v>1.54E-2</v>
          </cell>
          <cell r="BQ6">
            <v>2.8043362500000002E-2</v>
          </cell>
          <cell r="BR6">
            <v>2.06E-2</v>
          </cell>
          <cell r="BS6">
            <v>2.6208749999999999E-2</v>
          </cell>
          <cell r="BT6">
            <v>1.54E-2</v>
          </cell>
          <cell r="BU6">
            <v>2.6208749999999999E-2</v>
          </cell>
          <cell r="BV6">
            <v>1.5681750000000001E-2</v>
          </cell>
          <cell r="BW6">
            <v>2.0553749999999999E-2</v>
          </cell>
          <cell r="BX6">
            <v>1.0048499999999998E-2</v>
          </cell>
          <cell r="BY6">
            <v>2.8829625000000001E-2</v>
          </cell>
          <cell r="BZ6">
            <v>1.84820625E-2</v>
          </cell>
          <cell r="CA6">
            <v>2.0967E-2</v>
          </cell>
          <cell r="CB6">
            <v>1.25454E-2</v>
          </cell>
          <cell r="CC6">
            <v>1.6442999999999999E-2</v>
          </cell>
          <cell r="CD6">
            <v>8.0388000000000005E-3</v>
          </cell>
          <cell r="CE6">
            <v>2.0967E-2</v>
          </cell>
          <cell r="CF6">
            <v>1.25454E-2</v>
          </cell>
          <cell r="CG6">
            <v>1.6442999999999999E-2</v>
          </cell>
          <cell r="CH6">
            <v>8.0388000000000005E-3</v>
          </cell>
          <cell r="CI6">
            <v>2.6297889491126471E-2</v>
          </cell>
          <cell r="CJ6">
            <v>1.95E-2</v>
          </cell>
          <cell r="CK6">
            <v>2.4577466814136886E-2</v>
          </cell>
          <cell r="CL6">
            <v>1.66E-2</v>
          </cell>
          <cell r="CM6">
            <v>2.6297889491126471E-2</v>
          </cell>
          <cell r="CN6">
            <v>1.95E-2</v>
          </cell>
          <cell r="CO6">
            <v>2.4577466814136886E-2</v>
          </cell>
          <cell r="CP6">
            <v>1.66E-2</v>
          </cell>
          <cell r="CQ6">
            <v>2.4577466814136886E-2</v>
          </cell>
          <cell r="CR6">
            <v>1.4586192261433413E-2</v>
          </cell>
          <cell r="CS6">
            <v>2.1478568824528324E-2</v>
          </cell>
          <cell r="CT6">
            <v>1.0643111716034931E-2</v>
          </cell>
          <cell r="CU6">
            <v>2.7035213495550579E-2</v>
          </cell>
          <cell r="CV6">
            <v>1.7190869450975102E-2</v>
          </cell>
          <cell r="CW6">
            <v>1.966197345130951E-2</v>
          </cell>
          <cell r="CX6">
            <v>1.1668953809146733E-2</v>
          </cell>
          <cell r="CY6">
            <v>1.7182855059622658E-2</v>
          </cell>
          <cell r="CZ6">
            <v>8.5144893728279439E-3</v>
          </cell>
          <cell r="DA6">
            <v>1.966197345130951E-2</v>
          </cell>
          <cell r="DB6">
            <v>1.1668953809146733E-2</v>
          </cell>
          <cell r="DC6">
            <v>1.7182855059622658E-2</v>
          </cell>
          <cell r="DD6">
            <v>8.5144893728279439E-3</v>
          </cell>
          <cell r="DE6">
            <v>2.18E-2</v>
          </cell>
          <cell r="DF6">
            <v>1.83E-2</v>
          </cell>
          <cell r="DG6">
            <v>1.9300000000000001E-2</v>
          </cell>
          <cell r="DH6">
            <v>1.5800000000000002E-2</v>
          </cell>
          <cell r="DI6">
            <v>2.93E-2</v>
          </cell>
          <cell r="DJ6">
            <v>2.58E-2</v>
          </cell>
          <cell r="DK6">
            <v>2.5899999999999999E-2</v>
          </cell>
          <cell r="DL6">
            <v>2.24E-2</v>
          </cell>
          <cell r="DM6">
            <v>2.18E-2</v>
          </cell>
          <cell r="DN6">
            <v>1.83E-2</v>
          </cell>
          <cell r="DO6">
            <v>1.9300000000000001E-2</v>
          </cell>
          <cell r="DP6">
            <v>1.5800000000000002E-2</v>
          </cell>
          <cell r="DQ6">
            <v>2.18E-2</v>
          </cell>
          <cell r="DR6">
            <v>1.83E-2</v>
          </cell>
          <cell r="DS6">
            <v>1.9300000000000001E-2</v>
          </cell>
          <cell r="DT6">
            <v>1.5800000000000002E-2</v>
          </cell>
          <cell r="DU6">
            <v>2.3699999999999999E-2</v>
          </cell>
          <cell r="DV6">
            <v>1.7899999999999999E-2</v>
          </cell>
          <cell r="DW6">
            <v>2.1000000000000001E-2</v>
          </cell>
          <cell r="DX6">
            <v>1.2999999999999999E-2</v>
          </cell>
          <cell r="DY6">
            <v>2.6100000000000002E-2</v>
          </cell>
          <cell r="DZ6">
            <v>1.7899999999999999E-2</v>
          </cell>
          <cell r="EA6">
            <v>1.9699999999999999E-2</v>
          </cell>
          <cell r="EB6">
            <v>1.49E-2</v>
          </cell>
          <cell r="EC6">
            <v>1.7500000000000002E-2</v>
          </cell>
          <cell r="ED6">
            <v>1.0800000000000001E-2</v>
          </cell>
          <cell r="EE6">
            <v>1.9699999999999999E-2</v>
          </cell>
          <cell r="EF6">
            <v>1.49E-2</v>
          </cell>
          <cell r="EG6">
            <v>1.7500000000000002E-2</v>
          </cell>
          <cell r="EH6">
            <v>1.0800000000000001E-2</v>
          </cell>
          <cell r="EI6">
            <v>2.93E-2</v>
          </cell>
          <cell r="EJ6">
            <v>2.58E-2</v>
          </cell>
          <cell r="EK6">
            <v>2.5899999999999999E-2</v>
          </cell>
          <cell r="EL6">
            <v>2.24E-2</v>
          </cell>
          <cell r="EM6">
            <v>2.18E-2</v>
          </cell>
          <cell r="EN6">
            <v>1.83E-2</v>
          </cell>
          <cell r="EO6">
            <v>1.9300000000000001E-2</v>
          </cell>
          <cell r="EP6">
            <v>1.5800000000000002E-2</v>
          </cell>
          <cell r="EQ6">
            <v>2.18E-2</v>
          </cell>
          <cell r="ER6">
            <v>1.83E-2</v>
          </cell>
          <cell r="ES6">
            <v>1.9300000000000001E-2</v>
          </cell>
          <cell r="ET6">
            <v>1.5800000000000002E-2</v>
          </cell>
          <cell r="EU6">
            <v>2.3699999999999999E-2</v>
          </cell>
          <cell r="EV6">
            <v>1.7899999999999999E-2</v>
          </cell>
          <cell r="EW6">
            <v>2.1000000000000001E-2</v>
          </cell>
          <cell r="EX6">
            <v>1.2999999999999999E-2</v>
          </cell>
          <cell r="EY6">
            <v>2.6100000000000002E-2</v>
          </cell>
          <cell r="EZ6">
            <v>1.7899999999999999E-2</v>
          </cell>
          <cell r="FA6">
            <v>1.9699999999999999E-2</v>
          </cell>
          <cell r="FB6">
            <v>1.49E-2</v>
          </cell>
          <cell r="FC6">
            <v>1.7500000000000002E-2</v>
          </cell>
          <cell r="FD6">
            <v>1.0800000000000001E-2</v>
          </cell>
          <cell r="FE6">
            <v>1.9699999999999999E-2</v>
          </cell>
          <cell r="FF6">
            <v>1.49E-2</v>
          </cell>
          <cell r="FG6">
            <v>1.7500000000000002E-2</v>
          </cell>
          <cell r="FH6">
            <v>1.0800000000000001E-2</v>
          </cell>
          <cell r="FI6">
            <v>3.1993000000000001E-2</v>
          </cell>
          <cell r="FJ6">
            <v>2.7601803921568628E-2</v>
          </cell>
          <cell r="FK6">
            <v>2.9899999999999999E-2</v>
          </cell>
          <cell r="FL6">
            <v>2.5032558139534884E-2</v>
          </cell>
          <cell r="FM6">
            <v>3.1993000000000001E-2</v>
          </cell>
          <cell r="FN6">
            <v>2.7601803921568628E-2</v>
          </cell>
          <cell r="FO6">
            <v>2.9899999999999999E-2</v>
          </cell>
          <cell r="FP6">
            <v>2.5032558139534884E-2</v>
          </cell>
          <cell r="FQ6">
            <v>2.9899999999999999E-2</v>
          </cell>
          <cell r="FR6">
            <v>2.3199999999999998E-2</v>
          </cell>
          <cell r="FS6">
            <v>2.3400000000000001E-2</v>
          </cell>
          <cell r="FT6">
            <v>1.5699999999999999E-2</v>
          </cell>
          <cell r="FU6">
            <v>3.2899999999999999E-2</v>
          </cell>
          <cell r="FV6">
            <v>2.41E-2</v>
          </cell>
          <cell r="FW6">
            <v>2.5899999999999999E-2</v>
          </cell>
          <cell r="FX6">
            <v>2.01E-2</v>
          </cell>
          <cell r="FY6">
            <v>2.0299999999999999E-2</v>
          </cell>
          <cell r="FZ6">
            <v>1.3599999999999999E-2</v>
          </cell>
          <cell r="GA6">
            <v>2.5899999999999999E-2</v>
          </cell>
          <cell r="GB6">
            <v>2.01E-2</v>
          </cell>
          <cell r="GC6">
            <v>2.0299999999999999E-2</v>
          </cell>
          <cell r="GD6">
            <v>1.3599999999999999E-2</v>
          </cell>
          <cell r="GE6">
            <v>2.8248000000000002E-2</v>
          </cell>
          <cell r="GF6">
            <v>2.2483102040816327E-2</v>
          </cell>
          <cell r="GG6">
            <v>2.64E-2</v>
          </cell>
          <cell r="GH6">
            <v>2.0507142857142856E-2</v>
          </cell>
          <cell r="GI6">
            <v>2.8248000000000002E-2</v>
          </cell>
          <cell r="GJ6">
            <v>2.2483102040816327E-2</v>
          </cell>
          <cell r="GK6">
            <v>2.64E-2</v>
          </cell>
          <cell r="GL6">
            <v>2.0507142857142856E-2</v>
          </cell>
          <cell r="GM6">
            <v>2.64E-2</v>
          </cell>
          <cell r="GN6">
            <v>1.9E-2</v>
          </cell>
          <cell r="GO6">
            <v>2.07E-2</v>
          </cell>
          <cell r="GP6">
            <v>1.29E-2</v>
          </cell>
          <cell r="GQ6">
            <v>2.9000000000000001E-2</v>
          </cell>
          <cell r="GR6">
            <v>1.9800000000000002E-2</v>
          </cell>
          <cell r="GS6">
            <v>2.29E-2</v>
          </cell>
          <cell r="GT6">
            <v>1.6500000000000001E-2</v>
          </cell>
          <cell r="GU6">
            <v>1.7899999999999999E-2</v>
          </cell>
          <cell r="GV6">
            <v>1.11E-2</v>
          </cell>
          <cell r="GW6">
            <v>2.29E-2</v>
          </cell>
          <cell r="GX6">
            <v>1.6500000000000001E-2</v>
          </cell>
          <cell r="GY6">
            <v>1.7899999999999999E-2</v>
          </cell>
          <cell r="GZ6">
            <v>1.11E-2</v>
          </cell>
          <cell r="HA6">
            <v>2.5252E-2</v>
          </cell>
          <cell r="HB6">
            <v>2.00985306122449E-2</v>
          </cell>
          <cell r="HC6">
            <v>2.3599999999999999E-2</v>
          </cell>
          <cell r="HD6">
            <v>1.8332142857142856E-2</v>
          </cell>
          <cell r="HE6">
            <v>2.5252E-2</v>
          </cell>
          <cell r="HF6">
            <v>2.00985306122449E-2</v>
          </cell>
          <cell r="HG6">
            <v>2.3599999999999999E-2</v>
          </cell>
          <cell r="HH6">
            <v>1.8332142857142856E-2</v>
          </cell>
          <cell r="HI6">
            <v>2.3599999999999999E-2</v>
          </cell>
          <cell r="HJ6">
            <v>1.7000000000000001E-2</v>
          </cell>
          <cell r="HK6">
            <v>1.8499999999999999E-2</v>
          </cell>
          <cell r="HL6">
            <v>1.15E-2</v>
          </cell>
          <cell r="HM6">
            <v>2.5899999999999999E-2</v>
          </cell>
          <cell r="HN6">
            <v>1.77E-2</v>
          </cell>
          <cell r="HO6">
            <v>2.0400000000000001E-2</v>
          </cell>
          <cell r="HP6">
            <v>1.47E-2</v>
          </cell>
          <cell r="HQ6">
            <v>1.6E-2</v>
          </cell>
          <cell r="HR6">
            <v>0.01</v>
          </cell>
          <cell r="HS6">
            <v>2.0400000000000001E-2</v>
          </cell>
          <cell r="HT6">
            <v>1.47E-2</v>
          </cell>
          <cell r="HU6">
            <v>1.6E-2</v>
          </cell>
          <cell r="HV6">
            <v>0.01</v>
          </cell>
          <cell r="HW6" t="str">
            <v>%PPL</v>
          </cell>
        </row>
        <row r="7">
          <cell r="D7" t="str">
            <v>ALE GPP 1.0 CPA</v>
          </cell>
          <cell r="E7" t="str">
            <v>NAM- ALE International SAS: custom GPP 1.0 CPA</v>
          </cell>
          <cell r="F7" t="str">
            <v>LATAM- ALE International SAS: custom GPP 1.0 CPA</v>
          </cell>
          <cell r="G7" t="str">
            <v>Europe- ALE International SAS: custom GPP 1.0 CPA</v>
          </cell>
          <cell r="H7" t="str">
            <v>MEA- ALE International SAS: custom GPP 1.0 CPA</v>
          </cell>
          <cell r="I7" t="str">
            <v>APJ- ALE International SAS: custom GPP 1.0 CPA</v>
          </cell>
          <cell r="J7" t="str">
            <v>APJ- ALE International SAS: custom GPP 1.0 CPA</v>
          </cell>
          <cell r="K7" t="str">
            <v>APJ- ALE International SAS: custom GPP 1.0 CPA</v>
          </cell>
          <cell r="L7" t="str">
            <v>ALE_GPP1_CPA</v>
          </cell>
          <cell r="X7" t="str">
            <v>APJ Cluster B (Singapore, Thailand, Korea, Indonesia, Malaysia, Taiwan)</v>
          </cell>
          <cell r="Y7" t="str">
            <v>APJ-B</v>
          </cell>
          <cell r="AC7" t="str">
            <v>PTD-GPP 3.0 PPA RES (Reseller)</v>
          </cell>
          <cell r="AD7" t="str">
            <v>Advanced</v>
          </cell>
          <cell r="AE7">
            <v>0.09</v>
          </cell>
          <cell r="AF7" t="str">
            <v>PTD-GPP 3.0 PPA RES (Reseller)-Advanced</v>
          </cell>
          <cell r="AK7" t="str">
            <v>APJ-B-CPA</v>
          </cell>
          <cell r="AL7" t="str">
            <v>APJ-B_STD_TS_GLD_RFE</v>
          </cell>
          <cell r="AM7" t="str">
            <v>APJ-B_STD_TS_GLD_RFE_FY</v>
          </cell>
          <cell r="AR7" t="str">
            <v>APJ-B_STD_TS_BZE_RFE</v>
          </cell>
          <cell r="AS7" t="str">
            <v>APJ-B_STD_TS_BZE_RFE_FY</v>
          </cell>
          <cell r="AV7" t="str">
            <v>7210 SAS-R</v>
          </cell>
          <cell r="AW7">
            <v>0.6</v>
          </cell>
          <cell r="AX7">
            <v>0.45</v>
          </cell>
          <cell r="AY7">
            <v>0.5</v>
          </cell>
          <cell r="AZ7">
            <v>0.6</v>
          </cell>
          <cell r="BA7">
            <v>0.54</v>
          </cell>
          <cell r="BB7">
            <v>0.5</v>
          </cell>
          <cell r="BC7">
            <v>0.6</v>
          </cell>
          <cell r="BD7">
            <v>0.54</v>
          </cell>
          <cell r="BE7">
            <v>0.5</v>
          </cell>
          <cell r="BF7">
            <v>0.45</v>
          </cell>
          <cell r="BG7">
            <v>0.45</v>
          </cell>
          <cell r="BH7">
            <v>0.5</v>
          </cell>
          <cell r="BI7">
            <v>0.48</v>
          </cell>
          <cell r="BJ7">
            <v>0.5</v>
          </cell>
          <cell r="BK7">
            <v>2.5000000000000001E-2</v>
          </cell>
          <cell r="BL7" t="str">
            <v>%PMP</v>
          </cell>
          <cell r="BM7">
            <v>2.8043362500000002E-2</v>
          </cell>
          <cell r="BN7">
            <v>2.06E-2</v>
          </cell>
          <cell r="BO7">
            <v>2.6208749999999999E-2</v>
          </cell>
          <cell r="BP7">
            <v>1.54E-2</v>
          </cell>
          <cell r="BQ7">
            <v>2.8043362500000002E-2</v>
          </cell>
          <cell r="BR7">
            <v>2.06E-2</v>
          </cell>
          <cell r="BS7">
            <v>2.6208749999999999E-2</v>
          </cell>
          <cell r="BT7">
            <v>1.54E-2</v>
          </cell>
          <cell r="BU7">
            <v>2.6208749999999999E-2</v>
          </cell>
          <cell r="BV7">
            <v>1.5681750000000001E-2</v>
          </cell>
          <cell r="BW7">
            <v>2.0553749999999999E-2</v>
          </cell>
          <cell r="BX7">
            <v>1.0048499999999998E-2</v>
          </cell>
          <cell r="BY7">
            <v>2.8829625000000001E-2</v>
          </cell>
          <cell r="BZ7">
            <v>1.84820625E-2</v>
          </cell>
          <cell r="CA7">
            <v>2.0967E-2</v>
          </cell>
          <cell r="CB7">
            <v>1.25454E-2</v>
          </cell>
          <cell r="CC7">
            <v>1.6442999999999999E-2</v>
          </cell>
          <cell r="CD7">
            <v>8.0388000000000005E-3</v>
          </cell>
          <cell r="CE7">
            <v>2.0967E-2</v>
          </cell>
          <cell r="CF7">
            <v>1.25454E-2</v>
          </cell>
          <cell r="CG7">
            <v>1.6442999999999999E-2</v>
          </cell>
          <cell r="CH7">
            <v>8.0388000000000005E-3</v>
          </cell>
          <cell r="CI7">
            <v>2.6297889491126471E-2</v>
          </cell>
          <cell r="CJ7">
            <v>1.95E-2</v>
          </cell>
          <cell r="CK7">
            <v>2.4577466814136886E-2</v>
          </cell>
          <cell r="CL7">
            <v>1.66E-2</v>
          </cell>
          <cell r="CM7">
            <v>2.6297889491126471E-2</v>
          </cell>
          <cell r="CN7">
            <v>1.95E-2</v>
          </cell>
          <cell r="CO7">
            <v>2.4577466814136886E-2</v>
          </cell>
          <cell r="CP7">
            <v>1.66E-2</v>
          </cell>
          <cell r="CQ7">
            <v>2.4577466814136886E-2</v>
          </cell>
          <cell r="CR7">
            <v>1.4586192261433413E-2</v>
          </cell>
          <cell r="CS7">
            <v>2.1478568824528324E-2</v>
          </cell>
          <cell r="CT7">
            <v>1.0643111716034931E-2</v>
          </cell>
          <cell r="CU7">
            <v>2.7035213495550579E-2</v>
          </cell>
          <cell r="CV7">
            <v>1.7190869450975102E-2</v>
          </cell>
          <cell r="CW7">
            <v>1.966197345130951E-2</v>
          </cell>
          <cell r="CX7">
            <v>1.1668953809146733E-2</v>
          </cell>
          <cell r="CY7">
            <v>1.7182855059622658E-2</v>
          </cell>
          <cell r="CZ7">
            <v>8.5144893728279439E-3</v>
          </cell>
          <cell r="DA7">
            <v>1.966197345130951E-2</v>
          </cell>
          <cell r="DB7">
            <v>1.1668953809146733E-2</v>
          </cell>
          <cell r="DC7">
            <v>1.7182855059622658E-2</v>
          </cell>
          <cell r="DD7">
            <v>8.5144893728279439E-3</v>
          </cell>
          <cell r="DE7">
            <v>2.18E-2</v>
          </cell>
          <cell r="DF7">
            <v>1.83E-2</v>
          </cell>
          <cell r="DG7">
            <v>1.9300000000000001E-2</v>
          </cell>
          <cell r="DH7">
            <v>1.5800000000000002E-2</v>
          </cell>
          <cell r="DI7">
            <v>3.2599999999999997E-2</v>
          </cell>
          <cell r="DJ7">
            <v>2.9100000000000001E-2</v>
          </cell>
          <cell r="DK7">
            <v>2.8799999999999999E-2</v>
          </cell>
          <cell r="DL7">
            <v>2.53E-2</v>
          </cell>
          <cell r="DM7">
            <v>2.18E-2</v>
          </cell>
          <cell r="DN7">
            <v>1.83E-2</v>
          </cell>
          <cell r="DO7">
            <v>1.9300000000000001E-2</v>
          </cell>
          <cell r="DP7">
            <v>1.5800000000000002E-2</v>
          </cell>
          <cell r="DQ7">
            <v>2.18E-2</v>
          </cell>
          <cell r="DR7">
            <v>1.83E-2</v>
          </cell>
          <cell r="DS7">
            <v>1.9300000000000001E-2</v>
          </cell>
          <cell r="DT7">
            <v>1.5800000000000002E-2</v>
          </cell>
          <cell r="DU7">
            <v>2.3699999999999999E-2</v>
          </cell>
          <cell r="DV7">
            <v>1.7899999999999999E-2</v>
          </cell>
          <cell r="DW7">
            <v>2.1000000000000001E-2</v>
          </cell>
          <cell r="DX7">
            <v>1.2999999999999999E-2</v>
          </cell>
          <cell r="DY7">
            <v>2.6100000000000002E-2</v>
          </cell>
          <cell r="DZ7">
            <v>1.7899999999999999E-2</v>
          </cell>
          <cell r="EA7">
            <v>1.9699999999999999E-2</v>
          </cell>
          <cell r="EB7">
            <v>1.49E-2</v>
          </cell>
          <cell r="EC7">
            <v>1.7500000000000002E-2</v>
          </cell>
          <cell r="ED7">
            <v>1.0800000000000001E-2</v>
          </cell>
          <cell r="EE7">
            <v>1.9699999999999999E-2</v>
          </cell>
          <cell r="EF7">
            <v>1.49E-2</v>
          </cell>
          <cell r="EG7">
            <v>1.7500000000000002E-2</v>
          </cell>
          <cell r="EH7">
            <v>1.0800000000000001E-2</v>
          </cell>
          <cell r="EI7">
            <v>3.2599999999999997E-2</v>
          </cell>
          <cell r="EJ7">
            <v>2.9100000000000001E-2</v>
          </cell>
          <cell r="EK7">
            <v>2.8799999999999999E-2</v>
          </cell>
          <cell r="EL7">
            <v>2.53E-2</v>
          </cell>
          <cell r="EM7">
            <v>2.18E-2</v>
          </cell>
          <cell r="EN7">
            <v>1.83E-2</v>
          </cell>
          <cell r="EO7">
            <v>1.9300000000000001E-2</v>
          </cell>
          <cell r="EP7">
            <v>1.5800000000000002E-2</v>
          </cell>
          <cell r="EQ7">
            <v>2.18E-2</v>
          </cell>
          <cell r="ER7">
            <v>1.83E-2</v>
          </cell>
          <cell r="ES7">
            <v>1.9300000000000001E-2</v>
          </cell>
          <cell r="ET7">
            <v>1.5800000000000002E-2</v>
          </cell>
          <cell r="EU7">
            <v>2.3699999999999999E-2</v>
          </cell>
          <cell r="EV7">
            <v>1.7899999999999999E-2</v>
          </cell>
          <cell r="EW7">
            <v>2.1000000000000001E-2</v>
          </cell>
          <cell r="EX7">
            <v>1.2999999999999999E-2</v>
          </cell>
          <cell r="EY7">
            <v>2.6100000000000002E-2</v>
          </cell>
          <cell r="EZ7">
            <v>1.7899999999999999E-2</v>
          </cell>
          <cell r="FA7">
            <v>1.9699999999999999E-2</v>
          </cell>
          <cell r="FB7">
            <v>1.49E-2</v>
          </cell>
          <cell r="FC7">
            <v>1.7500000000000002E-2</v>
          </cell>
          <cell r="FD7">
            <v>1.0800000000000001E-2</v>
          </cell>
          <cell r="FE7">
            <v>1.9699999999999999E-2</v>
          </cell>
          <cell r="FF7">
            <v>1.49E-2</v>
          </cell>
          <cell r="FG7">
            <v>1.7500000000000002E-2</v>
          </cell>
          <cell r="FH7">
            <v>1.0800000000000001E-2</v>
          </cell>
          <cell r="FI7">
            <v>3.1993000000000001E-2</v>
          </cell>
          <cell r="FJ7">
            <v>2.7601803921568628E-2</v>
          </cell>
          <cell r="FK7">
            <v>2.9899999999999999E-2</v>
          </cell>
          <cell r="FL7">
            <v>2.5032558139534884E-2</v>
          </cell>
          <cell r="FM7">
            <v>3.1993000000000001E-2</v>
          </cell>
          <cell r="FN7">
            <v>2.7601803921568628E-2</v>
          </cell>
          <cell r="FO7">
            <v>2.9899999999999999E-2</v>
          </cell>
          <cell r="FP7">
            <v>2.5032558139534884E-2</v>
          </cell>
          <cell r="FQ7">
            <v>2.9899999999999999E-2</v>
          </cell>
          <cell r="FR7">
            <v>2.3199999999999998E-2</v>
          </cell>
          <cell r="FS7">
            <v>2.3400000000000001E-2</v>
          </cell>
          <cell r="FT7">
            <v>1.5699999999999999E-2</v>
          </cell>
          <cell r="FU7">
            <v>3.2899999999999999E-2</v>
          </cell>
          <cell r="FV7">
            <v>2.41E-2</v>
          </cell>
          <cell r="FW7">
            <v>2.5899999999999999E-2</v>
          </cell>
          <cell r="FX7">
            <v>2.01E-2</v>
          </cell>
          <cell r="FY7">
            <v>2.0299999999999999E-2</v>
          </cell>
          <cell r="FZ7">
            <v>1.3599999999999999E-2</v>
          </cell>
          <cell r="GA7">
            <v>2.5899999999999999E-2</v>
          </cell>
          <cell r="GB7">
            <v>2.01E-2</v>
          </cell>
          <cell r="GC7">
            <v>2.0299999999999999E-2</v>
          </cell>
          <cell r="GD7">
            <v>1.3599999999999999E-2</v>
          </cell>
          <cell r="GE7">
            <v>2.8248000000000002E-2</v>
          </cell>
          <cell r="GF7">
            <v>2.2483102040816327E-2</v>
          </cell>
          <cell r="GG7">
            <v>2.64E-2</v>
          </cell>
          <cell r="GH7">
            <v>2.0507142857142856E-2</v>
          </cell>
          <cell r="GI7">
            <v>2.8248000000000002E-2</v>
          </cell>
          <cell r="GJ7">
            <v>2.2483102040816327E-2</v>
          </cell>
          <cell r="GK7">
            <v>2.64E-2</v>
          </cell>
          <cell r="GL7">
            <v>2.0507142857142856E-2</v>
          </cell>
          <cell r="GM7">
            <v>2.64E-2</v>
          </cell>
          <cell r="GN7">
            <v>1.9E-2</v>
          </cell>
          <cell r="GO7">
            <v>2.07E-2</v>
          </cell>
          <cell r="GP7">
            <v>1.29E-2</v>
          </cell>
          <cell r="GQ7">
            <v>2.9000000000000001E-2</v>
          </cell>
          <cell r="GR7">
            <v>1.9800000000000002E-2</v>
          </cell>
          <cell r="GS7">
            <v>2.29E-2</v>
          </cell>
          <cell r="GT7">
            <v>1.6500000000000001E-2</v>
          </cell>
          <cell r="GU7">
            <v>1.7899999999999999E-2</v>
          </cell>
          <cell r="GV7">
            <v>1.11E-2</v>
          </cell>
          <cell r="GW7">
            <v>2.29E-2</v>
          </cell>
          <cell r="GX7">
            <v>1.6500000000000001E-2</v>
          </cell>
          <cell r="GY7">
            <v>1.7899999999999999E-2</v>
          </cell>
          <cell r="GZ7">
            <v>1.11E-2</v>
          </cell>
          <cell r="HA7">
            <v>2.5252E-2</v>
          </cell>
          <cell r="HB7">
            <v>2.00985306122449E-2</v>
          </cell>
          <cell r="HC7">
            <v>2.3599999999999999E-2</v>
          </cell>
          <cell r="HD7">
            <v>1.8332142857142856E-2</v>
          </cell>
          <cell r="HE7">
            <v>2.5252E-2</v>
          </cell>
          <cell r="HF7">
            <v>2.00985306122449E-2</v>
          </cell>
          <cell r="HG7">
            <v>2.3599999999999999E-2</v>
          </cell>
          <cell r="HH7">
            <v>1.8332142857142856E-2</v>
          </cell>
          <cell r="HI7">
            <v>2.3599999999999999E-2</v>
          </cell>
          <cell r="HJ7">
            <v>1.7000000000000001E-2</v>
          </cell>
          <cell r="HK7">
            <v>1.8499999999999999E-2</v>
          </cell>
          <cell r="HL7">
            <v>1.15E-2</v>
          </cell>
          <cell r="HM7">
            <v>2.5899999999999999E-2</v>
          </cell>
          <cell r="HN7">
            <v>1.77E-2</v>
          </cell>
          <cell r="HO7">
            <v>2.0400000000000001E-2</v>
          </cell>
          <cell r="HP7">
            <v>1.47E-2</v>
          </cell>
          <cell r="HQ7">
            <v>1.6E-2</v>
          </cell>
          <cell r="HR7">
            <v>0.01</v>
          </cell>
          <cell r="HS7">
            <v>2.0400000000000001E-2</v>
          </cell>
          <cell r="HT7">
            <v>1.47E-2</v>
          </cell>
          <cell r="HU7">
            <v>1.6E-2</v>
          </cell>
          <cell r="HV7">
            <v>0.01</v>
          </cell>
          <cell r="HW7" t="str">
            <v>%PPL</v>
          </cell>
        </row>
        <row r="8">
          <cell r="X8" t="str">
            <v>APJ Cluster C (India, China, Cambodia, Sri Lanka, Bangladesh, Vietnam, Philipinnes)</v>
          </cell>
          <cell r="Y8" t="str">
            <v>APJ-C</v>
          </cell>
          <cell r="AC8" t="str">
            <v>PTD-GPP 3.0 PPA RES (Reseller)</v>
          </cell>
          <cell r="AD8" t="str">
            <v>Expert</v>
          </cell>
          <cell r="AE8">
            <v>0.13</v>
          </cell>
          <cell r="AF8" t="str">
            <v>PTD-GPP 3.0 PPA RES (Reseller)-Expert</v>
          </cell>
          <cell r="AK8" t="str">
            <v>APJ-C-CPA</v>
          </cell>
          <cell r="AL8" t="str">
            <v>APJ-C_STD_TS_GLD_RFE</v>
          </cell>
          <cell r="AM8" t="str">
            <v>APJ-C_STD_TS_GLD_RFE_FY</v>
          </cell>
          <cell r="AR8" t="str">
            <v>APJ-C_STD_TS_BZE_RFE</v>
          </cell>
          <cell r="AS8" t="str">
            <v>APJ-C_STD_TS_BZE_RFE_FY</v>
          </cell>
          <cell r="AV8" t="str">
            <v>7210 SAS-S/Sx - 1/10G</v>
          </cell>
          <cell r="AW8">
            <v>0.5</v>
          </cell>
          <cell r="AX8">
            <v>0.4</v>
          </cell>
          <cell r="AY8">
            <v>0.5</v>
          </cell>
          <cell r="AZ8">
            <v>0.4</v>
          </cell>
          <cell r="BA8">
            <v>0.31</v>
          </cell>
          <cell r="BB8">
            <v>0.5</v>
          </cell>
          <cell r="BC8">
            <v>0.4</v>
          </cell>
          <cell r="BD8">
            <v>0.31</v>
          </cell>
          <cell r="BE8">
            <v>0.5</v>
          </cell>
          <cell r="BF8">
            <v>0.5</v>
          </cell>
          <cell r="BG8">
            <v>0.5</v>
          </cell>
          <cell r="BH8">
            <v>0.5</v>
          </cell>
          <cell r="BI8">
            <v>0.5</v>
          </cell>
          <cell r="BJ8">
            <v>0.5</v>
          </cell>
          <cell r="BK8">
            <v>2.5000000000000001E-2</v>
          </cell>
          <cell r="BL8" t="str">
            <v>%PMP</v>
          </cell>
          <cell r="BM8">
            <v>2.8043362500000002E-2</v>
          </cell>
          <cell r="BN8">
            <v>2.06E-2</v>
          </cell>
          <cell r="BO8">
            <v>2.6208749999999999E-2</v>
          </cell>
          <cell r="BP8">
            <v>1.54E-2</v>
          </cell>
          <cell r="BQ8">
            <v>2.8043362500000002E-2</v>
          </cell>
          <cell r="BR8">
            <v>2.06E-2</v>
          </cell>
          <cell r="BS8">
            <v>2.6208749999999999E-2</v>
          </cell>
          <cell r="BT8">
            <v>1.54E-2</v>
          </cell>
          <cell r="BU8">
            <v>2.6208749999999999E-2</v>
          </cell>
          <cell r="BV8">
            <v>1.5681750000000001E-2</v>
          </cell>
          <cell r="BW8">
            <v>2.0553749999999999E-2</v>
          </cell>
          <cell r="BX8">
            <v>1.0048499999999998E-2</v>
          </cell>
          <cell r="BY8">
            <v>2.8829625000000001E-2</v>
          </cell>
          <cell r="BZ8">
            <v>1.84820625E-2</v>
          </cell>
          <cell r="CA8">
            <v>2.0967E-2</v>
          </cell>
          <cell r="CB8">
            <v>1.25454E-2</v>
          </cell>
          <cell r="CC8">
            <v>1.6442999999999999E-2</v>
          </cell>
          <cell r="CD8">
            <v>8.0388000000000005E-3</v>
          </cell>
          <cell r="CE8">
            <v>2.0967E-2</v>
          </cell>
          <cell r="CF8">
            <v>1.25454E-2</v>
          </cell>
          <cell r="CG8">
            <v>1.6442999999999999E-2</v>
          </cell>
          <cell r="CH8">
            <v>8.0388000000000005E-3</v>
          </cell>
          <cell r="CI8">
            <v>2.6297889491126471E-2</v>
          </cell>
          <cell r="CJ8">
            <v>1.95E-2</v>
          </cell>
          <cell r="CK8">
            <v>2.4577466814136886E-2</v>
          </cell>
          <cell r="CL8">
            <v>1.66E-2</v>
          </cell>
          <cell r="CM8">
            <v>2.6297889491126471E-2</v>
          </cell>
          <cell r="CN8">
            <v>1.95E-2</v>
          </cell>
          <cell r="CO8">
            <v>2.4577466814136886E-2</v>
          </cell>
          <cell r="CP8">
            <v>1.66E-2</v>
          </cell>
          <cell r="CQ8">
            <v>2.4577466814136886E-2</v>
          </cell>
          <cell r="CR8">
            <v>1.4586192261433413E-2</v>
          </cell>
          <cell r="CS8">
            <v>2.1478568824528324E-2</v>
          </cell>
          <cell r="CT8">
            <v>1.0643111716034931E-2</v>
          </cell>
          <cell r="CU8">
            <v>2.7035213495550579E-2</v>
          </cell>
          <cell r="CV8">
            <v>1.7190869450975102E-2</v>
          </cell>
          <cell r="CW8">
            <v>1.966197345130951E-2</v>
          </cell>
          <cell r="CX8">
            <v>1.1668953809146733E-2</v>
          </cell>
          <cell r="CY8">
            <v>1.7182855059622658E-2</v>
          </cell>
          <cell r="CZ8">
            <v>8.5144893728279439E-3</v>
          </cell>
          <cell r="DA8">
            <v>1.966197345130951E-2</v>
          </cell>
          <cell r="DB8">
            <v>1.1668953809146733E-2</v>
          </cell>
          <cell r="DC8">
            <v>1.7182855059622658E-2</v>
          </cell>
          <cell r="DD8">
            <v>8.5144893728279439E-3</v>
          </cell>
          <cell r="DE8">
            <v>2.18E-2</v>
          </cell>
          <cell r="DF8">
            <v>1.83E-2</v>
          </cell>
          <cell r="DG8">
            <v>1.9300000000000001E-2</v>
          </cell>
          <cell r="DH8">
            <v>1.5800000000000002E-2</v>
          </cell>
          <cell r="DI8">
            <v>2.93E-2</v>
          </cell>
          <cell r="DJ8">
            <v>2.58E-2</v>
          </cell>
          <cell r="DK8">
            <v>2.5899999999999999E-2</v>
          </cell>
          <cell r="DL8">
            <v>2.24E-2</v>
          </cell>
          <cell r="DM8">
            <v>2.18E-2</v>
          </cell>
          <cell r="DN8">
            <v>1.83E-2</v>
          </cell>
          <cell r="DO8">
            <v>1.9300000000000001E-2</v>
          </cell>
          <cell r="DP8">
            <v>1.5800000000000002E-2</v>
          </cell>
          <cell r="DQ8">
            <v>2.18E-2</v>
          </cell>
          <cell r="DR8">
            <v>1.83E-2</v>
          </cell>
          <cell r="DS8">
            <v>1.9300000000000001E-2</v>
          </cell>
          <cell r="DT8">
            <v>1.5800000000000002E-2</v>
          </cell>
          <cell r="DU8">
            <v>2.3699999999999999E-2</v>
          </cell>
          <cell r="DV8">
            <v>1.7899999999999999E-2</v>
          </cell>
          <cell r="DW8">
            <v>2.1000000000000001E-2</v>
          </cell>
          <cell r="DX8">
            <v>1.2999999999999999E-2</v>
          </cell>
          <cell r="DY8">
            <v>2.6100000000000002E-2</v>
          </cell>
          <cell r="DZ8">
            <v>1.7899999999999999E-2</v>
          </cell>
          <cell r="EA8">
            <v>1.9699999999999999E-2</v>
          </cell>
          <cell r="EB8">
            <v>1.49E-2</v>
          </cell>
          <cell r="EC8">
            <v>1.7500000000000002E-2</v>
          </cell>
          <cell r="ED8">
            <v>1.0800000000000001E-2</v>
          </cell>
          <cell r="EE8">
            <v>1.9699999999999999E-2</v>
          </cell>
          <cell r="EF8">
            <v>1.49E-2</v>
          </cell>
          <cell r="EG8">
            <v>1.7500000000000002E-2</v>
          </cell>
          <cell r="EH8">
            <v>1.0800000000000001E-2</v>
          </cell>
          <cell r="EI8">
            <v>2.93E-2</v>
          </cell>
          <cell r="EJ8">
            <v>2.58E-2</v>
          </cell>
          <cell r="EK8">
            <v>2.5899999999999999E-2</v>
          </cell>
          <cell r="EL8">
            <v>2.24E-2</v>
          </cell>
          <cell r="EM8">
            <v>2.18E-2</v>
          </cell>
          <cell r="EN8">
            <v>1.83E-2</v>
          </cell>
          <cell r="EO8">
            <v>1.9300000000000001E-2</v>
          </cell>
          <cell r="EP8">
            <v>1.5800000000000002E-2</v>
          </cell>
          <cell r="EQ8">
            <v>2.18E-2</v>
          </cell>
          <cell r="ER8">
            <v>1.83E-2</v>
          </cell>
          <cell r="ES8">
            <v>1.9300000000000001E-2</v>
          </cell>
          <cell r="ET8">
            <v>1.5800000000000002E-2</v>
          </cell>
          <cell r="EU8">
            <v>2.3699999999999999E-2</v>
          </cell>
          <cell r="EV8">
            <v>1.7899999999999999E-2</v>
          </cell>
          <cell r="EW8">
            <v>2.1000000000000001E-2</v>
          </cell>
          <cell r="EX8">
            <v>1.2999999999999999E-2</v>
          </cell>
          <cell r="EY8">
            <v>2.6100000000000002E-2</v>
          </cell>
          <cell r="EZ8">
            <v>1.7899999999999999E-2</v>
          </cell>
          <cell r="FA8">
            <v>1.9699999999999999E-2</v>
          </cell>
          <cell r="FB8">
            <v>1.49E-2</v>
          </cell>
          <cell r="FC8">
            <v>1.7500000000000002E-2</v>
          </cell>
          <cell r="FD8">
            <v>1.0800000000000001E-2</v>
          </cell>
          <cell r="FE8">
            <v>1.9699999999999999E-2</v>
          </cell>
          <cell r="FF8">
            <v>1.49E-2</v>
          </cell>
          <cell r="FG8">
            <v>1.7500000000000002E-2</v>
          </cell>
          <cell r="FH8">
            <v>1.0800000000000001E-2</v>
          </cell>
          <cell r="FI8">
            <v>3.1993000000000001E-2</v>
          </cell>
          <cell r="FJ8">
            <v>2.7601803921568628E-2</v>
          </cell>
          <cell r="FK8">
            <v>2.9899999999999999E-2</v>
          </cell>
          <cell r="FL8">
            <v>2.5032558139534884E-2</v>
          </cell>
          <cell r="FM8">
            <v>3.1993000000000001E-2</v>
          </cell>
          <cell r="FN8">
            <v>2.7601803921568628E-2</v>
          </cell>
          <cell r="FO8">
            <v>2.9899999999999999E-2</v>
          </cell>
          <cell r="FP8">
            <v>2.5032558139534884E-2</v>
          </cell>
          <cell r="FQ8">
            <v>2.9899999999999999E-2</v>
          </cell>
          <cell r="FR8">
            <v>2.3199999999999998E-2</v>
          </cell>
          <cell r="FS8">
            <v>2.3400000000000001E-2</v>
          </cell>
          <cell r="FT8">
            <v>1.5699999999999999E-2</v>
          </cell>
          <cell r="FU8">
            <v>3.2899999999999999E-2</v>
          </cell>
          <cell r="FV8">
            <v>2.41E-2</v>
          </cell>
          <cell r="FW8">
            <v>2.5899999999999999E-2</v>
          </cell>
          <cell r="FX8">
            <v>2.01E-2</v>
          </cell>
          <cell r="FY8">
            <v>2.0299999999999999E-2</v>
          </cell>
          <cell r="FZ8">
            <v>1.3599999999999999E-2</v>
          </cell>
          <cell r="GA8">
            <v>2.5899999999999999E-2</v>
          </cell>
          <cell r="GB8">
            <v>2.01E-2</v>
          </cell>
          <cell r="GC8">
            <v>2.0299999999999999E-2</v>
          </cell>
          <cell r="GD8">
            <v>1.3599999999999999E-2</v>
          </cell>
          <cell r="GE8">
            <v>2.8248000000000002E-2</v>
          </cell>
          <cell r="GF8">
            <v>2.2483102040816327E-2</v>
          </cell>
          <cell r="GG8">
            <v>2.64E-2</v>
          </cell>
          <cell r="GH8">
            <v>2.0507142857142856E-2</v>
          </cell>
          <cell r="GI8">
            <v>2.8248000000000002E-2</v>
          </cell>
          <cell r="GJ8">
            <v>2.2483102040816327E-2</v>
          </cell>
          <cell r="GK8">
            <v>2.64E-2</v>
          </cell>
          <cell r="GL8">
            <v>2.0507142857142856E-2</v>
          </cell>
          <cell r="GM8">
            <v>2.64E-2</v>
          </cell>
          <cell r="GN8">
            <v>1.9E-2</v>
          </cell>
          <cell r="GO8">
            <v>2.07E-2</v>
          </cell>
          <cell r="GP8">
            <v>1.29E-2</v>
          </cell>
          <cell r="GQ8">
            <v>2.9000000000000001E-2</v>
          </cell>
          <cell r="GR8">
            <v>1.9800000000000002E-2</v>
          </cell>
          <cell r="GS8">
            <v>2.29E-2</v>
          </cell>
          <cell r="GT8">
            <v>1.6500000000000001E-2</v>
          </cell>
          <cell r="GU8">
            <v>1.7899999999999999E-2</v>
          </cell>
          <cell r="GV8">
            <v>1.11E-2</v>
          </cell>
          <cell r="GW8">
            <v>2.29E-2</v>
          </cell>
          <cell r="GX8">
            <v>1.6500000000000001E-2</v>
          </cell>
          <cell r="GY8">
            <v>1.7899999999999999E-2</v>
          </cell>
          <cell r="GZ8">
            <v>1.11E-2</v>
          </cell>
          <cell r="HA8">
            <v>2.5252E-2</v>
          </cell>
          <cell r="HB8">
            <v>2.00985306122449E-2</v>
          </cell>
          <cell r="HC8">
            <v>2.3599999999999999E-2</v>
          </cell>
          <cell r="HD8">
            <v>1.8332142857142856E-2</v>
          </cell>
          <cell r="HE8">
            <v>2.5252E-2</v>
          </cell>
          <cell r="HF8">
            <v>2.00985306122449E-2</v>
          </cell>
          <cell r="HG8">
            <v>2.3599999999999999E-2</v>
          </cell>
          <cell r="HH8">
            <v>1.8332142857142856E-2</v>
          </cell>
          <cell r="HI8">
            <v>2.3599999999999999E-2</v>
          </cell>
          <cell r="HJ8">
            <v>1.7000000000000001E-2</v>
          </cell>
          <cell r="HK8">
            <v>1.8499999999999999E-2</v>
          </cell>
          <cell r="HL8">
            <v>1.15E-2</v>
          </cell>
          <cell r="HM8">
            <v>2.5899999999999999E-2</v>
          </cell>
          <cell r="HN8">
            <v>1.77E-2</v>
          </cell>
          <cell r="HO8">
            <v>2.0400000000000001E-2</v>
          </cell>
          <cell r="HP8">
            <v>1.47E-2</v>
          </cell>
          <cell r="HQ8">
            <v>1.6E-2</v>
          </cell>
          <cell r="HR8">
            <v>0.01</v>
          </cell>
          <cell r="HS8">
            <v>2.0400000000000001E-2</v>
          </cell>
          <cell r="HT8">
            <v>1.47E-2</v>
          </cell>
          <cell r="HU8">
            <v>1.6E-2</v>
          </cell>
          <cell r="HV8">
            <v>0.01</v>
          </cell>
          <cell r="HW8" t="str">
            <v>%PPL</v>
          </cell>
        </row>
        <row r="9">
          <cell r="AC9" t="str">
            <v>PTD-GPP 3.0 PPA RES (Reseller) w PMA</v>
          </cell>
          <cell r="AD9" t="str">
            <v>Authorized</v>
          </cell>
          <cell r="AE9">
            <v>0.05</v>
          </cell>
          <cell r="AF9" t="str">
            <v>PTD-GPP 3.0 PPA RES (Reseller) w PMA-Authorized</v>
          </cell>
          <cell r="AK9" t="str">
            <v>NAR-PPA3</v>
          </cell>
          <cell r="AL9" t="str">
            <v>NAR_STD_TS_GLD_RFE_PPA3</v>
          </cell>
          <cell r="AM9" t="str">
            <v>NAR_STD_TS_GLD_RFE_FY_PPA3</v>
          </cell>
          <cell r="AR9" t="str">
            <v>NAR_STD_TS_BZE_RFE_PPA3</v>
          </cell>
          <cell r="AS9" t="str">
            <v>NAR_STD_TS_BZE_RFE_FY_PPA3</v>
          </cell>
          <cell r="AV9" t="str">
            <v>7210 SAS-Sx - 10/100G</v>
          </cell>
          <cell r="AW9">
            <v>0.5</v>
          </cell>
          <cell r="AX9">
            <v>0.4</v>
          </cell>
          <cell r="AY9">
            <v>0.5</v>
          </cell>
          <cell r="AZ9">
            <v>0.4</v>
          </cell>
          <cell r="BA9">
            <v>0.31</v>
          </cell>
          <cell r="BB9">
            <v>0.5</v>
          </cell>
          <cell r="BC9">
            <v>0.4</v>
          </cell>
          <cell r="BD9">
            <v>0.31</v>
          </cell>
          <cell r="BE9">
            <v>0.5</v>
          </cell>
          <cell r="BF9">
            <v>0.5</v>
          </cell>
          <cell r="BG9">
            <v>0.5</v>
          </cell>
          <cell r="BH9">
            <v>0.5</v>
          </cell>
          <cell r="BI9">
            <v>0.43</v>
          </cell>
          <cell r="BJ9">
            <v>0.5</v>
          </cell>
          <cell r="BK9">
            <v>2.5000000000000001E-2</v>
          </cell>
          <cell r="BL9" t="str">
            <v>%PMP</v>
          </cell>
          <cell r="BM9">
            <v>2.8043362500000002E-2</v>
          </cell>
          <cell r="BN9">
            <v>2.06E-2</v>
          </cell>
          <cell r="BO9">
            <v>2.6208749999999999E-2</v>
          </cell>
          <cell r="BP9">
            <v>1.54E-2</v>
          </cell>
          <cell r="BQ9">
            <v>2.8043362500000002E-2</v>
          </cell>
          <cell r="BR9">
            <v>2.06E-2</v>
          </cell>
          <cell r="BS9">
            <v>2.6208749999999999E-2</v>
          </cell>
          <cell r="BT9">
            <v>1.54E-2</v>
          </cell>
          <cell r="BU9">
            <v>2.6208749999999999E-2</v>
          </cell>
          <cell r="BV9">
            <v>1.5681750000000001E-2</v>
          </cell>
          <cell r="BW9">
            <v>2.0553749999999999E-2</v>
          </cell>
          <cell r="BX9">
            <v>1.0048499999999998E-2</v>
          </cell>
          <cell r="BY9">
            <v>2.8829625000000001E-2</v>
          </cell>
          <cell r="BZ9">
            <v>1.84820625E-2</v>
          </cell>
          <cell r="CA9">
            <v>2.0967E-2</v>
          </cell>
          <cell r="CB9">
            <v>1.25454E-2</v>
          </cell>
          <cell r="CC9">
            <v>1.6442999999999999E-2</v>
          </cell>
          <cell r="CD9">
            <v>8.0388000000000005E-3</v>
          </cell>
          <cell r="CE9">
            <v>2.0967E-2</v>
          </cell>
          <cell r="CF9">
            <v>1.25454E-2</v>
          </cell>
          <cell r="CG9">
            <v>1.6442999999999999E-2</v>
          </cell>
          <cell r="CH9">
            <v>8.0388000000000005E-3</v>
          </cell>
          <cell r="CI9">
            <v>2.6297889491126471E-2</v>
          </cell>
          <cell r="CJ9">
            <v>1.95E-2</v>
          </cell>
          <cell r="CK9">
            <v>2.4577466814136886E-2</v>
          </cell>
          <cell r="CL9">
            <v>1.66E-2</v>
          </cell>
          <cell r="CM9">
            <v>2.6297889491126471E-2</v>
          </cell>
          <cell r="CN9">
            <v>1.95E-2</v>
          </cell>
          <cell r="CO9">
            <v>2.4577466814136886E-2</v>
          </cell>
          <cell r="CP9">
            <v>1.66E-2</v>
          </cell>
          <cell r="CQ9">
            <v>2.4577466814136886E-2</v>
          </cell>
          <cell r="CR9">
            <v>1.4586192261433413E-2</v>
          </cell>
          <cell r="CS9">
            <v>2.1478568824528324E-2</v>
          </cell>
          <cell r="CT9">
            <v>1.0643111716034931E-2</v>
          </cell>
          <cell r="CU9">
            <v>2.7035213495550579E-2</v>
          </cell>
          <cell r="CV9">
            <v>1.7190869450975102E-2</v>
          </cell>
          <cell r="CW9">
            <v>1.966197345130951E-2</v>
          </cell>
          <cell r="CX9">
            <v>1.1668953809146733E-2</v>
          </cell>
          <cell r="CY9">
            <v>1.7182855059622658E-2</v>
          </cell>
          <cell r="CZ9">
            <v>8.5144893728279439E-3</v>
          </cell>
          <cell r="DA9">
            <v>1.966197345130951E-2</v>
          </cell>
          <cell r="DB9">
            <v>1.1668953809146733E-2</v>
          </cell>
          <cell r="DC9">
            <v>1.7182855059622658E-2</v>
          </cell>
          <cell r="DD9">
            <v>8.5144893728279439E-3</v>
          </cell>
          <cell r="DE9">
            <v>2.18E-2</v>
          </cell>
          <cell r="DF9">
            <v>1.83E-2</v>
          </cell>
          <cell r="DG9">
            <v>1.9300000000000001E-2</v>
          </cell>
          <cell r="DH9">
            <v>1.5800000000000002E-2</v>
          </cell>
          <cell r="DI9">
            <v>2.93E-2</v>
          </cell>
          <cell r="DJ9">
            <v>2.58E-2</v>
          </cell>
          <cell r="DK9">
            <v>2.5899999999999999E-2</v>
          </cell>
          <cell r="DL9">
            <v>2.24E-2</v>
          </cell>
          <cell r="DM9">
            <v>2.18E-2</v>
          </cell>
          <cell r="DN9">
            <v>1.83E-2</v>
          </cell>
          <cell r="DO9">
            <v>1.9300000000000001E-2</v>
          </cell>
          <cell r="DP9">
            <v>1.5800000000000002E-2</v>
          </cell>
          <cell r="DQ9">
            <v>2.18E-2</v>
          </cell>
          <cell r="DR9">
            <v>1.83E-2</v>
          </cell>
          <cell r="DS9">
            <v>1.9300000000000001E-2</v>
          </cell>
          <cell r="DT9">
            <v>1.5800000000000002E-2</v>
          </cell>
          <cell r="DU9">
            <v>2.3699999999999999E-2</v>
          </cell>
          <cell r="DV9">
            <v>1.7899999999999999E-2</v>
          </cell>
          <cell r="DW9">
            <v>2.1000000000000001E-2</v>
          </cell>
          <cell r="DX9">
            <v>1.2999999999999999E-2</v>
          </cell>
          <cell r="DY9">
            <v>2.6100000000000002E-2</v>
          </cell>
          <cell r="DZ9">
            <v>1.7899999999999999E-2</v>
          </cell>
          <cell r="EA9">
            <v>1.9699999999999999E-2</v>
          </cell>
          <cell r="EB9">
            <v>1.49E-2</v>
          </cell>
          <cell r="EC9">
            <v>1.7500000000000002E-2</v>
          </cell>
          <cell r="ED9">
            <v>1.0800000000000001E-2</v>
          </cell>
          <cell r="EE9">
            <v>1.9699999999999999E-2</v>
          </cell>
          <cell r="EF9">
            <v>1.49E-2</v>
          </cell>
          <cell r="EG9">
            <v>1.7500000000000002E-2</v>
          </cell>
          <cell r="EH9">
            <v>1.0800000000000001E-2</v>
          </cell>
          <cell r="EI9">
            <v>2.93E-2</v>
          </cell>
          <cell r="EJ9">
            <v>2.58E-2</v>
          </cell>
          <cell r="EK9">
            <v>2.5899999999999999E-2</v>
          </cell>
          <cell r="EL9">
            <v>2.24E-2</v>
          </cell>
          <cell r="EM9">
            <v>2.18E-2</v>
          </cell>
          <cell r="EN9">
            <v>1.83E-2</v>
          </cell>
          <cell r="EO9">
            <v>1.9300000000000001E-2</v>
          </cell>
          <cell r="EP9">
            <v>1.5800000000000002E-2</v>
          </cell>
          <cell r="EQ9">
            <v>2.18E-2</v>
          </cell>
          <cell r="ER9">
            <v>1.83E-2</v>
          </cell>
          <cell r="ES9">
            <v>1.9300000000000001E-2</v>
          </cell>
          <cell r="ET9">
            <v>1.5800000000000002E-2</v>
          </cell>
          <cell r="EU9">
            <v>2.3699999999999999E-2</v>
          </cell>
          <cell r="EV9">
            <v>1.7899999999999999E-2</v>
          </cell>
          <cell r="EW9">
            <v>2.1000000000000001E-2</v>
          </cell>
          <cell r="EX9">
            <v>1.2999999999999999E-2</v>
          </cell>
          <cell r="EY9">
            <v>2.6100000000000002E-2</v>
          </cell>
          <cell r="EZ9">
            <v>1.7899999999999999E-2</v>
          </cell>
          <cell r="FA9">
            <v>1.9699999999999999E-2</v>
          </cell>
          <cell r="FB9">
            <v>1.49E-2</v>
          </cell>
          <cell r="FC9">
            <v>1.7500000000000002E-2</v>
          </cell>
          <cell r="FD9">
            <v>1.0800000000000001E-2</v>
          </cell>
          <cell r="FE9">
            <v>1.9699999999999999E-2</v>
          </cell>
          <cell r="FF9">
            <v>1.49E-2</v>
          </cell>
          <cell r="FG9">
            <v>1.7500000000000002E-2</v>
          </cell>
          <cell r="FH9">
            <v>1.0800000000000001E-2</v>
          </cell>
          <cell r="FI9">
            <v>3.1993000000000001E-2</v>
          </cell>
          <cell r="FJ9">
            <v>2.7601803921568628E-2</v>
          </cell>
          <cell r="FK9">
            <v>2.9899999999999999E-2</v>
          </cell>
          <cell r="FL9">
            <v>2.5032558139534884E-2</v>
          </cell>
          <cell r="FM9">
            <v>3.1993000000000001E-2</v>
          </cell>
          <cell r="FN9">
            <v>2.7601803921568628E-2</v>
          </cell>
          <cell r="FO9">
            <v>2.9899999999999999E-2</v>
          </cell>
          <cell r="FP9">
            <v>2.5032558139534884E-2</v>
          </cell>
          <cell r="FQ9">
            <v>2.9899999999999999E-2</v>
          </cell>
          <cell r="FR9">
            <v>2.3199999999999998E-2</v>
          </cell>
          <cell r="FS9">
            <v>2.3400000000000001E-2</v>
          </cell>
          <cell r="FT9">
            <v>1.5699999999999999E-2</v>
          </cell>
          <cell r="FU9">
            <v>3.2899999999999999E-2</v>
          </cell>
          <cell r="FV9">
            <v>2.41E-2</v>
          </cell>
          <cell r="FW9">
            <v>2.5899999999999999E-2</v>
          </cell>
          <cell r="FX9">
            <v>2.01E-2</v>
          </cell>
          <cell r="FY9">
            <v>2.0299999999999999E-2</v>
          </cell>
          <cell r="FZ9">
            <v>1.3599999999999999E-2</v>
          </cell>
          <cell r="GA9">
            <v>2.5899999999999999E-2</v>
          </cell>
          <cell r="GB9">
            <v>2.01E-2</v>
          </cell>
          <cell r="GC9">
            <v>2.0299999999999999E-2</v>
          </cell>
          <cell r="GD9">
            <v>1.3599999999999999E-2</v>
          </cell>
          <cell r="GE9">
            <v>2.8248000000000002E-2</v>
          </cell>
          <cell r="GF9">
            <v>2.2483102040816327E-2</v>
          </cell>
          <cell r="GG9">
            <v>2.64E-2</v>
          </cell>
          <cell r="GH9">
            <v>2.0507142857142856E-2</v>
          </cell>
          <cell r="GI9">
            <v>2.8248000000000002E-2</v>
          </cell>
          <cell r="GJ9">
            <v>2.2483102040816327E-2</v>
          </cell>
          <cell r="GK9">
            <v>2.64E-2</v>
          </cell>
          <cell r="GL9">
            <v>2.0507142857142856E-2</v>
          </cell>
          <cell r="GM9">
            <v>2.64E-2</v>
          </cell>
          <cell r="GN9">
            <v>1.9E-2</v>
          </cell>
          <cell r="GO9">
            <v>2.07E-2</v>
          </cell>
          <cell r="GP9">
            <v>1.29E-2</v>
          </cell>
          <cell r="GQ9">
            <v>2.9000000000000001E-2</v>
          </cell>
          <cell r="GR9">
            <v>1.9800000000000002E-2</v>
          </cell>
          <cell r="GS9">
            <v>2.29E-2</v>
          </cell>
          <cell r="GT9">
            <v>1.6500000000000001E-2</v>
          </cell>
          <cell r="GU9">
            <v>1.7899999999999999E-2</v>
          </cell>
          <cell r="GV9">
            <v>1.11E-2</v>
          </cell>
          <cell r="GW9">
            <v>2.29E-2</v>
          </cell>
          <cell r="GX9">
            <v>1.6500000000000001E-2</v>
          </cell>
          <cell r="GY9">
            <v>1.7899999999999999E-2</v>
          </cell>
          <cell r="GZ9">
            <v>1.11E-2</v>
          </cell>
          <cell r="HA9">
            <v>2.5252E-2</v>
          </cell>
          <cell r="HB9">
            <v>2.00985306122449E-2</v>
          </cell>
          <cell r="HC9">
            <v>2.3599999999999999E-2</v>
          </cell>
          <cell r="HD9">
            <v>1.8332142857142856E-2</v>
          </cell>
          <cell r="HE9">
            <v>2.5252E-2</v>
          </cell>
          <cell r="HF9">
            <v>2.00985306122449E-2</v>
          </cell>
          <cell r="HG9">
            <v>2.3599999999999999E-2</v>
          </cell>
          <cell r="HH9">
            <v>1.8332142857142856E-2</v>
          </cell>
          <cell r="HI9">
            <v>2.3599999999999999E-2</v>
          </cell>
          <cell r="HJ9">
            <v>1.7000000000000001E-2</v>
          </cell>
          <cell r="HK9">
            <v>1.8499999999999999E-2</v>
          </cell>
          <cell r="HL9">
            <v>1.15E-2</v>
          </cell>
          <cell r="HM9">
            <v>2.5899999999999999E-2</v>
          </cell>
          <cell r="HN9">
            <v>1.77E-2</v>
          </cell>
          <cell r="HO9">
            <v>2.0400000000000001E-2</v>
          </cell>
          <cell r="HP9">
            <v>1.47E-2</v>
          </cell>
          <cell r="HQ9">
            <v>1.6E-2</v>
          </cell>
          <cell r="HR9">
            <v>0.01</v>
          </cell>
          <cell r="HS9">
            <v>2.0400000000000001E-2</v>
          </cell>
          <cell r="HT9">
            <v>1.47E-2</v>
          </cell>
          <cell r="HU9">
            <v>1.6E-2</v>
          </cell>
          <cell r="HV9">
            <v>0.01</v>
          </cell>
          <cell r="HW9" t="str">
            <v>%PPL</v>
          </cell>
        </row>
        <row r="10">
          <cell r="AC10" t="str">
            <v>PTD-GPP 3.0 PPA RES (Reseller) w PMA</v>
          </cell>
          <cell r="AD10" t="str">
            <v>Advanced</v>
          </cell>
          <cell r="AE10">
            <v>0.09</v>
          </cell>
          <cell r="AF10" t="str">
            <v>PTD-GPP 3.0 PPA RES (Reseller) w PMA-Advanced</v>
          </cell>
          <cell r="AK10" t="str">
            <v>CALA-PPA3</v>
          </cell>
          <cell r="AL10" t="str">
            <v>CALA_STD_TS_GLD_RFE_PPA3</v>
          </cell>
          <cell r="AM10" t="str">
            <v>CALA_STD_TS_GLD_RFE_FY_PPA3</v>
          </cell>
          <cell r="AR10" t="str">
            <v>CALA_STD_TS_BZE_RFE_PPA3</v>
          </cell>
          <cell r="AS10" t="str">
            <v>CALA_STD_TS_BZE_RFE_FY_PPA3</v>
          </cell>
          <cell r="AV10" t="str">
            <v>7210 SAS-T</v>
          </cell>
          <cell r="AW10">
            <v>0.6</v>
          </cell>
          <cell r="AX10">
            <v>0.5</v>
          </cell>
          <cell r="AY10">
            <v>0.5</v>
          </cell>
          <cell r="AZ10">
            <v>0.56000000000000005</v>
          </cell>
          <cell r="BA10">
            <v>0.495</v>
          </cell>
          <cell r="BB10">
            <v>0.5</v>
          </cell>
          <cell r="BC10">
            <v>0.56000000000000005</v>
          </cell>
          <cell r="BD10">
            <v>0.495</v>
          </cell>
          <cell r="BE10">
            <v>0.5</v>
          </cell>
          <cell r="BF10">
            <v>0.5</v>
          </cell>
          <cell r="BG10">
            <v>0.5</v>
          </cell>
          <cell r="BH10">
            <v>0.5</v>
          </cell>
          <cell r="BI10">
            <v>0.54</v>
          </cell>
          <cell r="BJ10">
            <v>0.5</v>
          </cell>
          <cell r="BK10">
            <v>2.5000000000000001E-2</v>
          </cell>
          <cell r="BL10" t="str">
            <v>%PMP</v>
          </cell>
          <cell r="BM10">
            <v>2.8043362500000002E-2</v>
          </cell>
          <cell r="BN10">
            <v>2.06E-2</v>
          </cell>
          <cell r="BO10">
            <v>2.6208749999999999E-2</v>
          </cell>
          <cell r="BP10">
            <v>1.54E-2</v>
          </cell>
          <cell r="BQ10">
            <v>2.8043362500000002E-2</v>
          </cell>
          <cell r="BR10">
            <v>2.06E-2</v>
          </cell>
          <cell r="BS10">
            <v>2.6208749999999999E-2</v>
          </cell>
          <cell r="BT10">
            <v>1.54E-2</v>
          </cell>
          <cell r="BU10">
            <v>2.6208749999999999E-2</v>
          </cell>
          <cell r="BV10">
            <v>1.5681750000000001E-2</v>
          </cell>
          <cell r="BW10">
            <v>2.0553749999999999E-2</v>
          </cell>
          <cell r="BX10">
            <v>1.0048499999999998E-2</v>
          </cell>
          <cell r="BY10">
            <v>2.8829625000000001E-2</v>
          </cell>
          <cell r="BZ10">
            <v>1.84820625E-2</v>
          </cell>
          <cell r="CA10">
            <v>2.0967E-2</v>
          </cell>
          <cell r="CB10">
            <v>1.25454E-2</v>
          </cell>
          <cell r="CC10">
            <v>1.6442999999999999E-2</v>
          </cell>
          <cell r="CD10">
            <v>8.0388000000000005E-3</v>
          </cell>
          <cell r="CE10">
            <v>2.0967E-2</v>
          </cell>
          <cell r="CF10">
            <v>1.25454E-2</v>
          </cell>
          <cell r="CG10">
            <v>1.6442999999999999E-2</v>
          </cell>
          <cell r="CH10">
            <v>8.0388000000000005E-3</v>
          </cell>
          <cell r="CI10">
            <v>2.6297889491126471E-2</v>
          </cell>
          <cell r="CJ10">
            <v>1.95E-2</v>
          </cell>
          <cell r="CK10">
            <v>2.4577466814136886E-2</v>
          </cell>
          <cell r="CL10">
            <v>1.66E-2</v>
          </cell>
          <cell r="CM10">
            <v>2.6297889491126471E-2</v>
          </cell>
          <cell r="CN10">
            <v>1.95E-2</v>
          </cell>
          <cell r="CO10">
            <v>2.4577466814136886E-2</v>
          </cell>
          <cell r="CP10">
            <v>1.66E-2</v>
          </cell>
          <cell r="CQ10">
            <v>2.4577466814136886E-2</v>
          </cell>
          <cell r="CR10">
            <v>1.4586192261433413E-2</v>
          </cell>
          <cell r="CS10">
            <v>2.1478568824528324E-2</v>
          </cell>
          <cell r="CT10">
            <v>1.0643111716034931E-2</v>
          </cell>
          <cell r="CU10">
            <v>2.7035213495550579E-2</v>
          </cell>
          <cell r="CV10">
            <v>1.7190869450975102E-2</v>
          </cell>
          <cell r="CW10">
            <v>1.966197345130951E-2</v>
          </cell>
          <cell r="CX10">
            <v>1.1668953809146733E-2</v>
          </cell>
          <cell r="CY10">
            <v>1.7182855059622658E-2</v>
          </cell>
          <cell r="CZ10">
            <v>8.5144893728279439E-3</v>
          </cell>
          <cell r="DA10">
            <v>1.966197345130951E-2</v>
          </cell>
          <cell r="DB10">
            <v>1.1668953809146733E-2</v>
          </cell>
          <cell r="DC10">
            <v>1.7182855059622658E-2</v>
          </cell>
          <cell r="DD10">
            <v>8.5144893728279439E-3</v>
          </cell>
          <cell r="DE10">
            <v>2.18E-2</v>
          </cell>
          <cell r="DF10">
            <v>1.83E-2</v>
          </cell>
          <cell r="DG10">
            <v>1.9300000000000001E-2</v>
          </cell>
          <cell r="DH10">
            <v>1.5800000000000002E-2</v>
          </cell>
          <cell r="DI10">
            <v>2.5399999999999999E-2</v>
          </cell>
          <cell r="DJ10">
            <v>2.1899999999999999E-2</v>
          </cell>
          <cell r="DK10">
            <v>2.2499999999999999E-2</v>
          </cell>
          <cell r="DL10">
            <v>1.9E-2</v>
          </cell>
          <cell r="DM10">
            <v>2.18E-2</v>
          </cell>
          <cell r="DN10">
            <v>1.83E-2</v>
          </cell>
          <cell r="DO10">
            <v>1.9300000000000001E-2</v>
          </cell>
          <cell r="DP10">
            <v>1.5800000000000002E-2</v>
          </cell>
          <cell r="DQ10">
            <v>2.18E-2</v>
          </cell>
          <cell r="DR10">
            <v>1.83E-2</v>
          </cell>
          <cell r="DS10">
            <v>1.9300000000000001E-2</v>
          </cell>
          <cell r="DT10">
            <v>1.5800000000000002E-2</v>
          </cell>
          <cell r="DU10">
            <v>2.3699999999999999E-2</v>
          </cell>
          <cell r="DV10">
            <v>1.7899999999999999E-2</v>
          </cell>
          <cell r="DW10">
            <v>2.1000000000000001E-2</v>
          </cell>
          <cell r="DX10">
            <v>1.2999999999999999E-2</v>
          </cell>
          <cell r="DY10">
            <v>2.6100000000000002E-2</v>
          </cell>
          <cell r="DZ10">
            <v>1.7899999999999999E-2</v>
          </cell>
          <cell r="EA10">
            <v>1.9699999999999999E-2</v>
          </cell>
          <cell r="EB10">
            <v>1.49E-2</v>
          </cell>
          <cell r="EC10">
            <v>1.7500000000000002E-2</v>
          </cell>
          <cell r="ED10">
            <v>1.0800000000000001E-2</v>
          </cell>
          <cell r="EE10">
            <v>1.9699999999999999E-2</v>
          </cell>
          <cell r="EF10">
            <v>1.49E-2</v>
          </cell>
          <cell r="EG10">
            <v>1.7500000000000002E-2</v>
          </cell>
          <cell r="EH10">
            <v>1.0800000000000001E-2</v>
          </cell>
          <cell r="EI10">
            <v>2.5399999999999999E-2</v>
          </cell>
          <cell r="EJ10">
            <v>2.1899999999999999E-2</v>
          </cell>
          <cell r="EK10">
            <v>2.2499999999999999E-2</v>
          </cell>
          <cell r="EL10">
            <v>1.9E-2</v>
          </cell>
          <cell r="EM10">
            <v>2.18E-2</v>
          </cell>
          <cell r="EN10">
            <v>1.83E-2</v>
          </cell>
          <cell r="EO10">
            <v>1.9300000000000001E-2</v>
          </cell>
          <cell r="EP10">
            <v>1.5800000000000002E-2</v>
          </cell>
          <cell r="EQ10">
            <v>2.18E-2</v>
          </cell>
          <cell r="ER10">
            <v>1.83E-2</v>
          </cell>
          <cell r="ES10">
            <v>1.9300000000000001E-2</v>
          </cell>
          <cell r="ET10">
            <v>1.5800000000000002E-2</v>
          </cell>
          <cell r="EU10">
            <v>2.3699999999999999E-2</v>
          </cell>
          <cell r="EV10">
            <v>1.7899999999999999E-2</v>
          </cell>
          <cell r="EW10">
            <v>2.1000000000000001E-2</v>
          </cell>
          <cell r="EX10">
            <v>1.2999999999999999E-2</v>
          </cell>
          <cell r="EY10">
            <v>2.6100000000000002E-2</v>
          </cell>
          <cell r="EZ10">
            <v>1.7899999999999999E-2</v>
          </cell>
          <cell r="FA10">
            <v>1.9699999999999999E-2</v>
          </cell>
          <cell r="FB10">
            <v>1.49E-2</v>
          </cell>
          <cell r="FC10">
            <v>1.7500000000000002E-2</v>
          </cell>
          <cell r="FD10">
            <v>1.0800000000000001E-2</v>
          </cell>
          <cell r="FE10">
            <v>1.9699999999999999E-2</v>
          </cell>
          <cell r="FF10">
            <v>1.49E-2</v>
          </cell>
          <cell r="FG10">
            <v>1.7500000000000002E-2</v>
          </cell>
          <cell r="FH10">
            <v>1.0800000000000001E-2</v>
          </cell>
          <cell r="FI10">
            <v>3.1993000000000001E-2</v>
          </cell>
          <cell r="FJ10">
            <v>2.7601803921568628E-2</v>
          </cell>
          <cell r="FK10">
            <v>2.9899999999999999E-2</v>
          </cell>
          <cell r="FL10">
            <v>2.5032558139534884E-2</v>
          </cell>
          <cell r="FM10">
            <v>3.1993000000000001E-2</v>
          </cell>
          <cell r="FN10">
            <v>2.7601803921568628E-2</v>
          </cell>
          <cell r="FO10">
            <v>2.9899999999999999E-2</v>
          </cell>
          <cell r="FP10">
            <v>2.5032558139534884E-2</v>
          </cell>
          <cell r="FQ10">
            <v>2.9899999999999999E-2</v>
          </cell>
          <cell r="FR10">
            <v>2.3199999999999998E-2</v>
          </cell>
          <cell r="FS10">
            <v>2.3400000000000001E-2</v>
          </cell>
          <cell r="FT10">
            <v>1.5699999999999999E-2</v>
          </cell>
          <cell r="FU10">
            <v>3.2899999999999999E-2</v>
          </cell>
          <cell r="FV10">
            <v>2.41E-2</v>
          </cell>
          <cell r="FW10">
            <v>2.5899999999999999E-2</v>
          </cell>
          <cell r="FX10">
            <v>2.01E-2</v>
          </cell>
          <cell r="FY10">
            <v>2.0299999999999999E-2</v>
          </cell>
          <cell r="FZ10">
            <v>1.3599999999999999E-2</v>
          </cell>
          <cell r="GA10">
            <v>2.5899999999999999E-2</v>
          </cell>
          <cell r="GB10">
            <v>2.01E-2</v>
          </cell>
          <cell r="GC10">
            <v>2.0299999999999999E-2</v>
          </cell>
          <cell r="GD10">
            <v>1.3599999999999999E-2</v>
          </cell>
          <cell r="GE10">
            <v>2.8248000000000002E-2</v>
          </cell>
          <cell r="GF10">
            <v>2.2483102040816327E-2</v>
          </cell>
          <cell r="GG10">
            <v>2.64E-2</v>
          </cell>
          <cell r="GH10">
            <v>2.0507142857142856E-2</v>
          </cell>
          <cell r="GI10">
            <v>2.8248000000000002E-2</v>
          </cell>
          <cell r="GJ10">
            <v>2.2483102040816327E-2</v>
          </cell>
          <cell r="GK10">
            <v>2.64E-2</v>
          </cell>
          <cell r="GL10">
            <v>2.0507142857142856E-2</v>
          </cell>
          <cell r="GM10">
            <v>2.64E-2</v>
          </cell>
          <cell r="GN10">
            <v>1.9E-2</v>
          </cell>
          <cell r="GO10">
            <v>2.07E-2</v>
          </cell>
          <cell r="GP10">
            <v>1.29E-2</v>
          </cell>
          <cell r="GQ10">
            <v>2.9000000000000001E-2</v>
          </cell>
          <cell r="GR10">
            <v>1.9800000000000002E-2</v>
          </cell>
          <cell r="GS10">
            <v>2.29E-2</v>
          </cell>
          <cell r="GT10">
            <v>1.6500000000000001E-2</v>
          </cell>
          <cell r="GU10">
            <v>1.7899999999999999E-2</v>
          </cell>
          <cell r="GV10">
            <v>1.11E-2</v>
          </cell>
          <cell r="GW10">
            <v>2.29E-2</v>
          </cell>
          <cell r="GX10">
            <v>1.6500000000000001E-2</v>
          </cell>
          <cell r="GY10">
            <v>1.7899999999999999E-2</v>
          </cell>
          <cell r="GZ10">
            <v>1.11E-2</v>
          </cell>
          <cell r="HA10">
            <v>2.5252E-2</v>
          </cell>
          <cell r="HB10">
            <v>2.00985306122449E-2</v>
          </cell>
          <cell r="HC10">
            <v>2.3599999999999999E-2</v>
          </cell>
          <cell r="HD10">
            <v>1.8332142857142856E-2</v>
          </cell>
          <cell r="HE10">
            <v>2.5252E-2</v>
          </cell>
          <cell r="HF10">
            <v>2.00985306122449E-2</v>
          </cell>
          <cell r="HG10">
            <v>2.3599999999999999E-2</v>
          </cell>
          <cell r="HH10">
            <v>1.8332142857142856E-2</v>
          </cell>
          <cell r="HI10">
            <v>2.3599999999999999E-2</v>
          </cell>
          <cell r="HJ10">
            <v>1.7000000000000001E-2</v>
          </cell>
          <cell r="HK10">
            <v>1.8499999999999999E-2</v>
          </cell>
          <cell r="HL10">
            <v>1.15E-2</v>
          </cell>
          <cell r="HM10">
            <v>2.5899999999999999E-2</v>
          </cell>
          <cell r="HN10">
            <v>1.77E-2</v>
          </cell>
          <cell r="HO10">
            <v>2.0400000000000001E-2</v>
          </cell>
          <cell r="HP10">
            <v>1.47E-2</v>
          </cell>
          <cell r="HQ10">
            <v>1.6E-2</v>
          </cell>
          <cell r="HR10">
            <v>0.01</v>
          </cell>
          <cell r="HS10">
            <v>2.0400000000000001E-2</v>
          </cell>
          <cell r="HT10">
            <v>1.47E-2</v>
          </cell>
          <cell r="HU10">
            <v>1.6E-2</v>
          </cell>
          <cell r="HV10">
            <v>0.01</v>
          </cell>
          <cell r="HW10" t="str">
            <v>%PPL</v>
          </cell>
        </row>
        <row r="11">
          <cell r="AC11" t="str">
            <v>PTD-GPP 3.0 PPA RES (Reseller) w PMA</v>
          </cell>
          <cell r="AD11" t="str">
            <v>Expert</v>
          </cell>
          <cell r="AE11">
            <v>0.13</v>
          </cell>
          <cell r="AF11" t="str">
            <v>PTD-GPP 3.0 PPA RES (Reseller) w PMA-Expert</v>
          </cell>
          <cell r="AK11" t="str">
            <v>EUROPE-PPA3</v>
          </cell>
          <cell r="AL11" t="str">
            <v>EUROPE_PPA_TS_GLD_RFE_PPA3</v>
          </cell>
          <cell r="AM11" t="str">
            <v>EUROPE_PPA_TS_GLD_RFE_FY_PPA3</v>
          </cell>
          <cell r="AR11" t="str">
            <v>EUROPE_PPA_TS_BZE_RFE_PPA3</v>
          </cell>
          <cell r="AS11" t="str">
            <v>EUROPE_PPA_TS_BZE_RFE_FY_PPA3</v>
          </cell>
          <cell r="AV11" t="str">
            <v>7250 IXR Accessories</v>
          </cell>
          <cell r="AW11">
            <v>0.4</v>
          </cell>
          <cell r="AX11">
            <v>0.4</v>
          </cell>
          <cell r="AY11">
            <v>0.4</v>
          </cell>
          <cell r="AZ11">
            <v>0.4</v>
          </cell>
          <cell r="BA11">
            <v>0.4</v>
          </cell>
          <cell r="BB11">
            <v>0.4</v>
          </cell>
          <cell r="BC11">
            <v>0.4</v>
          </cell>
          <cell r="BD11">
            <v>0.4</v>
          </cell>
          <cell r="BE11">
            <v>0.4</v>
          </cell>
          <cell r="BF11">
            <v>0.4</v>
          </cell>
          <cell r="BG11">
            <v>0.4</v>
          </cell>
          <cell r="BH11">
            <v>0.4</v>
          </cell>
          <cell r="BI11">
            <v>0.6</v>
          </cell>
          <cell r="BJ11">
            <v>0.4</v>
          </cell>
          <cell r="BK11">
            <v>2.5000000000000001E-2</v>
          </cell>
          <cell r="BL11" t="str">
            <v>%PMP</v>
          </cell>
          <cell r="BM11">
            <v>3.5558983650000001E-2</v>
          </cell>
          <cell r="BN11">
            <v>2.61208E-2</v>
          </cell>
          <cell r="BO11">
            <v>3.3232695E-2</v>
          </cell>
          <cell r="BP11">
            <v>1.9527200000000002E-2</v>
          </cell>
          <cell r="BQ11">
            <v>3.5558983650000001E-2</v>
          </cell>
          <cell r="BR11">
            <v>2.61208E-2</v>
          </cell>
          <cell r="BS11">
            <v>3.3232695E-2</v>
          </cell>
          <cell r="BT11">
            <v>1.9527200000000002E-2</v>
          </cell>
          <cell r="BU11">
            <v>3.3232695E-2</v>
          </cell>
          <cell r="BV11">
            <v>1.9884459000000004E-2</v>
          </cell>
          <cell r="BW11">
            <v>2.6062155E-2</v>
          </cell>
          <cell r="BX11">
            <v>1.2741497999999999E-2</v>
          </cell>
          <cell r="BY11">
            <v>3.6555964500000003E-2</v>
          </cell>
          <cell r="BZ11">
            <v>2.3435255249999998E-2</v>
          </cell>
          <cell r="CA11">
            <v>2.6599999999999999E-2</v>
          </cell>
          <cell r="CB11">
            <v>1.5915850622406639E-2</v>
          </cell>
          <cell r="CC11">
            <v>2.086E-2</v>
          </cell>
          <cell r="CD11">
            <v>1.0200000000000001E-2</v>
          </cell>
          <cell r="CE11">
            <v>2.6599999999999999E-2</v>
          </cell>
          <cell r="CF11">
            <v>1.5915850622406639E-2</v>
          </cell>
          <cell r="CG11">
            <v>2.086E-2</v>
          </cell>
          <cell r="CH11">
            <v>1.0200000000000001E-2</v>
          </cell>
          <cell r="CI11">
            <v>2.6609321258867457E-2</v>
          </cell>
          <cell r="CJ11">
            <v>1.9730928016980159E-2</v>
          </cell>
          <cell r="CK11">
            <v>2.4868524540997621E-2</v>
          </cell>
          <cell r="CL11">
            <v>1.6796584875993368E-2</v>
          </cell>
          <cell r="CM11">
            <v>2.6609321258867457E-2</v>
          </cell>
          <cell r="CN11">
            <v>1.9730928016980159E-2</v>
          </cell>
          <cell r="CO11">
            <v>2.4868524540997621E-2</v>
          </cell>
          <cell r="CP11">
            <v>1.6796584875993368E-2</v>
          </cell>
          <cell r="CQ11">
            <v>2.4868524540997621E-2</v>
          </cell>
          <cell r="CR11">
            <v>1.4756329531327004E-2</v>
          </cell>
          <cell r="CS11">
            <v>2.1731884447729895E-2</v>
          </cell>
          <cell r="CT11">
            <v>1.0766420688092663E-2</v>
          </cell>
          <cell r="CU11">
            <v>2.7359374925035471E-2</v>
          </cell>
          <cell r="CV11">
            <v>1.7398173935464025E-2</v>
          </cell>
          <cell r="CW11">
            <v>1.9904307154457023E-2</v>
          </cell>
          <cell r="CX11">
            <v>1.1815920519873124E-2</v>
          </cell>
          <cell r="CY11">
            <v>1.7398173935464025E-2</v>
          </cell>
          <cell r="CZ11">
            <v>8.6221839628170659E-3</v>
          </cell>
          <cell r="DA11">
            <v>1.9904307154457023E-2</v>
          </cell>
          <cell r="DB11">
            <v>1.1815920519873124E-2</v>
          </cell>
          <cell r="DC11">
            <v>1.7398173935464025E-2</v>
          </cell>
          <cell r="DD11">
            <v>8.6221839628170659E-3</v>
          </cell>
          <cell r="DE11">
            <v>2.7640000000000001E-2</v>
          </cell>
          <cell r="DF11">
            <v>2.3199999999999998E-2</v>
          </cell>
          <cell r="DG11">
            <v>2.4469999999999999E-2</v>
          </cell>
          <cell r="DH11">
            <v>2.0029999999999999E-2</v>
          </cell>
          <cell r="DI11">
            <v>3.2599999999999997E-2</v>
          </cell>
          <cell r="DJ11">
            <v>2.9100000000000001E-2</v>
          </cell>
          <cell r="DK11">
            <v>2.8799999999999999E-2</v>
          </cell>
          <cell r="DL11">
            <v>2.53E-2</v>
          </cell>
          <cell r="DM11">
            <v>2.18E-2</v>
          </cell>
          <cell r="DN11">
            <v>1.83E-2</v>
          </cell>
          <cell r="DO11">
            <v>1.9300000000000001E-2</v>
          </cell>
          <cell r="DP11">
            <v>1.5800000000000002E-2</v>
          </cell>
          <cell r="DQ11">
            <v>2.18E-2</v>
          </cell>
          <cell r="DR11">
            <v>1.83E-2</v>
          </cell>
          <cell r="DS11">
            <v>1.9300000000000001E-2</v>
          </cell>
          <cell r="DT11">
            <v>1.5800000000000002E-2</v>
          </cell>
          <cell r="DU11">
            <v>3.005E-2</v>
          </cell>
          <cell r="DV11">
            <v>2.2700000000000001E-2</v>
          </cell>
          <cell r="DW11">
            <v>2.6630000000000001E-2</v>
          </cell>
          <cell r="DX11">
            <v>1.6490000000000001E-2</v>
          </cell>
          <cell r="DY11">
            <v>3.3099999999999997E-2</v>
          </cell>
          <cell r="DZ11">
            <v>2.2700000000000001E-2</v>
          </cell>
          <cell r="EA11">
            <v>2.4979999999999999E-2</v>
          </cell>
          <cell r="EB11">
            <v>1.8890000000000001E-2</v>
          </cell>
          <cell r="EC11">
            <v>2.2190000000000001E-2</v>
          </cell>
          <cell r="ED11">
            <v>1.3690000000000001E-2</v>
          </cell>
          <cell r="EE11">
            <v>2.4979999999999999E-2</v>
          </cell>
          <cell r="EF11">
            <v>1.8890000000000001E-2</v>
          </cell>
          <cell r="EG11">
            <v>2.2190000000000001E-2</v>
          </cell>
          <cell r="EH11">
            <v>1.3690000000000001E-2</v>
          </cell>
          <cell r="EI11">
            <v>3.2599999999999997E-2</v>
          </cell>
          <cell r="EJ11">
            <v>2.9100000000000001E-2</v>
          </cell>
          <cell r="EK11">
            <v>2.8799999999999999E-2</v>
          </cell>
          <cell r="EL11">
            <v>2.53E-2</v>
          </cell>
          <cell r="EM11">
            <v>2.18E-2</v>
          </cell>
          <cell r="EN11">
            <v>1.83E-2</v>
          </cell>
          <cell r="EO11">
            <v>1.9300000000000001E-2</v>
          </cell>
          <cell r="EP11">
            <v>1.5800000000000002E-2</v>
          </cell>
          <cell r="EQ11">
            <v>2.18E-2</v>
          </cell>
          <cell r="ER11">
            <v>1.83E-2</v>
          </cell>
          <cell r="ES11">
            <v>1.9300000000000001E-2</v>
          </cell>
          <cell r="ET11">
            <v>1.5800000000000002E-2</v>
          </cell>
          <cell r="EU11">
            <v>3.005E-2</v>
          </cell>
          <cell r="EV11">
            <v>2.2700000000000001E-2</v>
          </cell>
          <cell r="EW11">
            <v>2.6630000000000001E-2</v>
          </cell>
          <cell r="EX11">
            <v>1.6490000000000001E-2</v>
          </cell>
          <cell r="EY11">
            <v>3.3099999999999997E-2</v>
          </cell>
          <cell r="EZ11">
            <v>2.2700000000000001E-2</v>
          </cell>
          <cell r="FA11">
            <v>2.4979999999999999E-2</v>
          </cell>
          <cell r="FB11">
            <v>1.8890000000000001E-2</v>
          </cell>
          <cell r="FC11">
            <v>2.2190000000000001E-2</v>
          </cell>
          <cell r="FD11">
            <v>1.3690000000000001E-2</v>
          </cell>
          <cell r="FE11">
            <v>2.4979999999999999E-2</v>
          </cell>
          <cell r="FF11">
            <v>1.8890000000000001E-2</v>
          </cell>
          <cell r="FG11">
            <v>2.2190000000000001E-2</v>
          </cell>
          <cell r="FH11">
            <v>1.3690000000000001E-2</v>
          </cell>
          <cell r="FI11">
            <v>4.4512000000000003E-2</v>
          </cell>
          <cell r="FJ11">
            <v>3.8402509803921576E-2</v>
          </cell>
          <cell r="FK11">
            <v>4.1599999999999998E-2</v>
          </cell>
          <cell r="FL11">
            <v>3.4827906976744184E-2</v>
          </cell>
          <cell r="FM11">
            <v>4.4512000000000003E-2</v>
          </cell>
          <cell r="FN11">
            <v>3.8402509803921576E-2</v>
          </cell>
          <cell r="FO11">
            <v>4.1599999999999998E-2</v>
          </cell>
          <cell r="FP11">
            <v>3.4827906976744184E-2</v>
          </cell>
          <cell r="FQ11">
            <v>4.1599999999999998E-2</v>
          </cell>
          <cell r="FR11">
            <v>3.2280000000000003E-2</v>
          </cell>
          <cell r="FS11">
            <v>3.2559999999999999E-2</v>
          </cell>
          <cell r="FT11">
            <v>2.1850000000000001E-2</v>
          </cell>
          <cell r="FU11">
            <v>4.5769999999999998E-2</v>
          </cell>
          <cell r="FV11">
            <v>3.3529999999999997E-2</v>
          </cell>
          <cell r="FW11">
            <v>3.2840000000000001E-2</v>
          </cell>
          <cell r="FX11">
            <v>2.5489999999999999E-2</v>
          </cell>
          <cell r="FY11">
            <v>2.5739999999999999E-2</v>
          </cell>
          <cell r="FZ11">
            <v>1.7239999999999998E-2</v>
          </cell>
          <cell r="GA11">
            <v>3.2840000000000001E-2</v>
          </cell>
          <cell r="GB11">
            <v>2.5489999999999999E-2</v>
          </cell>
          <cell r="GC11">
            <v>2.5739999999999999E-2</v>
          </cell>
          <cell r="GD11">
            <v>1.7239999999999998E-2</v>
          </cell>
          <cell r="GE11">
            <v>4.4512000000000003E-2</v>
          </cell>
          <cell r="GF11">
            <v>3.542791836734694E-2</v>
          </cell>
          <cell r="GG11">
            <v>4.1599999999999998E-2</v>
          </cell>
          <cell r="GH11">
            <v>3.2314285714285712E-2</v>
          </cell>
          <cell r="GI11">
            <v>4.4512000000000003E-2</v>
          </cell>
          <cell r="GJ11">
            <v>3.542791836734694E-2</v>
          </cell>
          <cell r="GK11">
            <v>4.1599999999999998E-2</v>
          </cell>
          <cell r="GL11">
            <v>3.2314285714285712E-2</v>
          </cell>
          <cell r="GM11">
            <v>4.1599999999999998E-2</v>
          </cell>
          <cell r="GN11">
            <v>3.2280000000000003E-2</v>
          </cell>
          <cell r="GO11">
            <v>3.2559999999999999E-2</v>
          </cell>
          <cell r="GP11">
            <v>2.1850000000000001E-2</v>
          </cell>
          <cell r="GQ11">
            <v>4.5769999999999998E-2</v>
          </cell>
          <cell r="GR11">
            <v>3.3529999999999997E-2</v>
          </cell>
          <cell r="GS11">
            <v>3.8789999999999998E-2</v>
          </cell>
          <cell r="GT11">
            <v>2.6040000000000001E-2</v>
          </cell>
          <cell r="GU11">
            <v>2.8250000000000001E-2</v>
          </cell>
          <cell r="GV11">
            <v>1.7520000000000001E-2</v>
          </cell>
          <cell r="GW11">
            <v>3.8789999999999998E-2</v>
          </cell>
          <cell r="GX11">
            <v>2.6040000000000001E-2</v>
          </cell>
          <cell r="GY11">
            <v>2.8250000000000001E-2</v>
          </cell>
          <cell r="GZ11">
            <v>1.7520000000000001E-2</v>
          </cell>
          <cell r="HA11">
            <v>3.9857500000000004E-2</v>
          </cell>
          <cell r="HB11">
            <v>3.1723316326530616E-2</v>
          </cell>
          <cell r="HC11">
            <v>3.7249999999999998E-2</v>
          </cell>
          <cell r="HD11">
            <v>2.8935267857142857E-2</v>
          </cell>
          <cell r="HE11">
            <v>3.9857500000000004E-2</v>
          </cell>
          <cell r="HF11">
            <v>3.1723316326530616E-2</v>
          </cell>
          <cell r="HG11">
            <v>3.7249999999999998E-2</v>
          </cell>
          <cell r="HH11">
            <v>2.8935267857142857E-2</v>
          </cell>
          <cell r="HI11">
            <v>3.7249999999999998E-2</v>
          </cell>
          <cell r="HJ11">
            <v>2.683E-2</v>
          </cell>
          <cell r="HK11">
            <v>2.92E-2</v>
          </cell>
          <cell r="HL11">
            <v>1.8149999999999999E-2</v>
          </cell>
          <cell r="HM11">
            <v>4.088E-2</v>
          </cell>
          <cell r="HN11">
            <v>2.794E-2</v>
          </cell>
          <cell r="HO11">
            <v>3.2199999999999999E-2</v>
          </cell>
          <cell r="HP11">
            <v>2.3199999999999998E-2</v>
          </cell>
          <cell r="HQ11">
            <v>2.5250000000000002E-2</v>
          </cell>
          <cell r="HR11">
            <v>1.5779999999999999E-2</v>
          </cell>
          <cell r="HS11">
            <v>3.2199999999999999E-2</v>
          </cell>
          <cell r="HT11">
            <v>2.3199999999999998E-2</v>
          </cell>
          <cell r="HU11">
            <v>2.5250000000000002E-2</v>
          </cell>
          <cell r="HV11">
            <v>1.5779999999999999E-2</v>
          </cell>
          <cell r="HW11" t="str">
            <v>%PPL</v>
          </cell>
        </row>
        <row r="12">
          <cell r="AC12" t="str">
            <v>PTD-GPP 3.0 PPA DIS (Distributor)</v>
          </cell>
          <cell r="AD12" t="str">
            <v>Base Distributor</v>
          </cell>
          <cell r="AE12">
            <v>7.0000000000000007E-2</v>
          </cell>
          <cell r="AF12" t="str">
            <v>PTD-GPP 3.0 PPA DIS (Distributor)-Base Distributor</v>
          </cell>
          <cell r="AK12" t="str">
            <v>MEA-PPA3</v>
          </cell>
          <cell r="AL12" t="str">
            <v>MEA_PPA_TS_GLD_RFE_PPA3</v>
          </cell>
          <cell r="AM12" t="str">
            <v>MEA_PPA_TS_GLD_RFE_FY_PPA3</v>
          </cell>
          <cell r="AR12" t="str">
            <v>MEA_PPA_TS_BZE_RFE_PPA3</v>
          </cell>
          <cell r="AS12" t="str">
            <v>MEA_PPA_TS_BZE_RFE_FY_PPA3</v>
          </cell>
          <cell r="AV12" t="str">
            <v>7250 IXR OS</v>
          </cell>
          <cell r="AW12">
            <v>0.7</v>
          </cell>
          <cell r="AX12">
            <v>0.62</v>
          </cell>
          <cell r="AY12">
            <v>0.65</v>
          </cell>
          <cell r="AZ12">
            <v>0.65</v>
          </cell>
          <cell r="BA12">
            <v>0.56000000000000005</v>
          </cell>
          <cell r="BB12">
            <v>0.65</v>
          </cell>
          <cell r="BC12">
            <v>0.65</v>
          </cell>
          <cell r="BD12">
            <v>0.56000000000000005</v>
          </cell>
          <cell r="BE12">
            <v>0.65</v>
          </cell>
          <cell r="BF12">
            <v>0.4</v>
          </cell>
          <cell r="BG12">
            <v>0.4</v>
          </cell>
          <cell r="BH12">
            <v>0.65</v>
          </cell>
          <cell r="BI12">
            <v>0.62</v>
          </cell>
          <cell r="BJ12">
            <v>0.6</v>
          </cell>
          <cell r="BK12">
            <v>2.5000000000000001E-2</v>
          </cell>
          <cell r="BL12" t="str">
            <v>%PMP</v>
          </cell>
          <cell r="BM12">
            <v>3.5558983650000001E-2</v>
          </cell>
          <cell r="BN12">
            <v>2.61208E-2</v>
          </cell>
          <cell r="BO12">
            <v>3.3232695E-2</v>
          </cell>
          <cell r="BP12">
            <v>1.9527200000000002E-2</v>
          </cell>
          <cell r="BQ12">
            <v>3.5558983650000001E-2</v>
          </cell>
          <cell r="BR12">
            <v>2.61208E-2</v>
          </cell>
          <cell r="BS12">
            <v>3.3232695E-2</v>
          </cell>
          <cell r="BT12">
            <v>1.9527200000000002E-2</v>
          </cell>
          <cell r="BU12">
            <v>3.3232695E-2</v>
          </cell>
          <cell r="BV12">
            <v>1.9884459000000004E-2</v>
          </cell>
          <cell r="BW12">
            <v>2.6062155E-2</v>
          </cell>
          <cell r="BX12">
            <v>1.2741497999999999E-2</v>
          </cell>
          <cell r="BY12">
            <v>3.6555964500000003E-2</v>
          </cell>
          <cell r="BZ12">
            <v>2.3435255249999998E-2</v>
          </cell>
          <cell r="CA12">
            <v>2.6599999999999999E-2</v>
          </cell>
          <cell r="CB12">
            <v>1.5915850622406639E-2</v>
          </cell>
          <cell r="CC12">
            <v>2.086E-2</v>
          </cell>
          <cell r="CD12">
            <v>1.0200000000000001E-2</v>
          </cell>
          <cell r="CE12">
            <v>2.6599999999999999E-2</v>
          </cell>
          <cell r="CF12">
            <v>1.5915850622406639E-2</v>
          </cell>
          <cell r="CG12">
            <v>2.086E-2</v>
          </cell>
          <cell r="CH12">
            <v>1.0200000000000001E-2</v>
          </cell>
          <cell r="CI12">
            <v>2.6609321258867457E-2</v>
          </cell>
          <cell r="CJ12">
            <v>1.9730928016980159E-2</v>
          </cell>
          <cell r="CK12">
            <v>2.4868524540997621E-2</v>
          </cell>
          <cell r="CL12">
            <v>1.6796584875993368E-2</v>
          </cell>
          <cell r="CM12">
            <v>2.6609321258867457E-2</v>
          </cell>
          <cell r="CN12">
            <v>1.9730928016980159E-2</v>
          </cell>
          <cell r="CO12">
            <v>2.4868524540997621E-2</v>
          </cell>
          <cell r="CP12">
            <v>1.6796584875993368E-2</v>
          </cell>
          <cell r="CQ12">
            <v>2.4868524540997621E-2</v>
          </cell>
          <cell r="CR12">
            <v>1.4756329531327004E-2</v>
          </cell>
          <cell r="CS12">
            <v>2.1731884447729895E-2</v>
          </cell>
          <cell r="CT12">
            <v>1.0766420688092663E-2</v>
          </cell>
          <cell r="CU12">
            <v>2.7359374925035471E-2</v>
          </cell>
          <cell r="CV12">
            <v>1.7398173935464025E-2</v>
          </cell>
          <cell r="CW12">
            <v>1.9904307154457023E-2</v>
          </cell>
          <cell r="CX12">
            <v>1.1815920519873124E-2</v>
          </cell>
          <cell r="CY12">
            <v>1.7398173935464025E-2</v>
          </cell>
          <cell r="CZ12">
            <v>8.6221839628170659E-3</v>
          </cell>
          <cell r="DA12">
            <v>1.9904307154457023E-2</v>
          </cell>
          <cell r="DB12">
            <v>1.1815920519873124E-2</v>
          </cell>
          <cell r="DC12">
            <v>1.7398173935464025E-2</v>
          </cell>
          <cell r="DD12">
            <v>8.6221839628170659E-3</v>
          </cell>
          <cell r="DE12">
            <v>2.7640000000000001E-2</v>
          </cell>
          <cell r="DF12">
            <v>2.3199999999999998E-2</v>
          </cell>
          <cell r="DG12">
            <v>2.4469999999999999E-2</v>
          </cell>
          <cell r="DH12">
            <v>2.0029999999999999E-2</v>
          </cell>
          <cell r="DI12">
            <v>3.2599999999999997E-2</v>
          </cell>
          <cell r="DJ12">
            <v>2.9100000000000001E-2</v>
          </cell>
          <cell r="DK12">
            <v>2.8799999999999999E-2</v>
          </cell>
          <cell r="DL12">
            <v>2.53E-2</v>
          </cell>
          <cell r="DM12">
            <v>2.18E-2</v>
          </cell>
          <cell r="DN12">
            <v>1.83E-2</v>
          </cell>
          <cell r="DO12">
            <v>1.9300000000000001E-2</v>
          </cell>
          <cell r="DP12">
            <v>1.5800000000000002E-2</v>
          </cell>
          <cell r="DQ12">
            <v>2.18E-2</v>
          </cell>
          <cell r="DR12">
            <v>1.83E-2</v>
          </cell>
          <cell r="DS12">
            <v>1.9300000000000001E-2</v>
          </cell>
          <cell r="DT12">
            <v>1.5800000000000002E-2</v>
          </cell>
          <cell r="DU12">
            <v>3.005E-2</v>
          </cell>
          <cell r="DV12">
            <v>2.2700000000000001E-2</v>
          </cell>
          <cell r="DW12">
            <v>2.6630000000000001E-2</v>
          </cell>
          <cell r="DX12">
            <v>1.6490000000000001E-2</v>
          </cell>
          <cell r="DY12">
            <v>3.3099999999999997E-2</v>
          </cell>
          <cell r="DZ12">
            <v>2.2700000000000001E-2</v>
          </cell>
          <cell r="EA12">
            <v>2.4979999999999999E-2</v>
          </cell>
          <cell r="EB12">
            <v>1.8890000000000001E-2</v>
          </cell>
          <cell r="EC12">
            <v>2.2190000000000001E-2</v>
          </cell>
          <cell r="ED12">
            <v>1.3690000000000001E-2</v>
          </cell>
          <cell r="EE12">
            <v>2.4979999999999999E-2</v>
          </cell>
          <cell r="EF12">
            <v>1.8890000000000001E-2</v>
          </cell>
          <cell r="EG12">
            <v>2.2190000000000001E-2</v>
          </cell>
          <cell r="EH12">
            <v>1.3690000000000001E-2</v>
          </cell>
          <cell r="EI12">
            <v>3.2599999999999997E-2</v>
          </cell>
          <cell r="EJ12">
            <v>2.9100000000000001E-2</v>
          </cell>
          <cell r="EK12">
            <v>2.8799999999999999E-2</v>
          </cell>
          <cell r="EL12">
            <v>2.53E-2</v>
          </cell>
          <cell r="EM12">
            <v>2.18E-2</v>
          </cell>
          <cell r="EN12">
            <v>1.83E-2</v>
          </cell>
          <cell r="EO12">
            <v>1.9300000000000001E-2</v>
          </cell>
          <cell r="EP12">
            <v>1.5800000000000002E-2</v>
          </cell>
          <cell r="EQ12">
            <v>2.18E-2</v>
          </cell>
          <cell r="ER12">
            <v>1.83E-2</v>
          </cell>
          <cell r="ES12">
            <v>1.9300000000000001E-2</v>
          </cell>
          <cell r="ET12">
            <v>1.5800000000000002E-2</v>
          </cell>
          <cell r="EU12">
            <v>3.005E-2</v>
          </cell>
          <cell r="EV12">
            <v>2.2700000000000001E-2</v>
          </cell>
          <cell r="EW12">
            <v>2.6630000000000001E-2</v>
          </cell>
          <cell r="EX12">
            <v>1.6490000000000001E-2</v>
          </cell>
          <cell r="EY12">
            <v>3.3099999999999997E-2</v>
          </cell>
          <cell r="EZ12">
            <v>2.2700000000000001E-2</v>
          </cell>
          <cell r="FA12">
            <v>2.4979999999999999E-2</v>
          </cell>
          <cell r="FB12">
            <v>1.8890000000000001E-2</v>
          </cell>
          <cell r="FC12">
            <v>2.2190000000000001E-2</v>
          </cell>
          <cell r="FD12">
            <v>1.3690000000000001E-2</v>
          </cell>
          <cell r="FE12">
            <v>2.4979999999999999E-2</v>
          </cell>
          <cell r="FF12">
            <v>1.8890000000000001E-2</v>
          </cell>
          <cell r="FG12">
            <v>2.2190000000000001E-2</v>
          </cell>
          <cell r="FH12">
            <v>1.3690000000000001E-2</v>
          </cell>
          <cell r="FI12">
            <v>4.4512000000000003E-2</v>
          </cell>
          <cell r="FJ12">
            <v>3.8402509803921576E-2</v>
          </cell>
          <cell r="FK12">
            <v>4.1599999999999998E-2</v>
          </cell>
          <cell r="FL12">
            <v>3.4827906976744184E-2</v>
          </cell>
          <cell r="FM12">
            <v>4.4512000000000003E-2</v>
          </cell>
          <cell r="FN12">
            <v>3.8402509803921576E-2</v>
          </cell>
          <cell r="FO12">
            <v>4.1599999999999998E-2</v>
          </cell>
          <cell r="FP12">
            <v>3.4827906976744184E-2</v>
          </cell>
          <cell r="FQ12">
            <v>4.1599999999999998E-2</v>
          </cell>
          <cell r="FR12">
            <v>3.2280000000000003E-2</v>
          </cell>
          <cell r="FS12">
            <v>3.2559999999999999E-2</v>
          </cell>
          <cell r="FT12">
            <v>2.1850000000000001E-2</v>
          </cell>
          <cell r="FU12">
            <v>4.5769999999999998E-2</v>
          </cell>
          <cell r="FV12">
            <v>3.3529999999999997E-2</v>
          </cell>
          <cell r="FW12">
            <v>3.2840000000000001E-2</v>
          </cell>
          <cell r="FX12">
            <v>2.5489999999999999E-2</v>
          </cell>
          <cell r="FY12">
            <v>2.5739999999999999E-2</v>
          </cell>
          <cell r="FZ12">
            <v>1.7239999999999998E-2</v>
          </cell>
          <cell r="GA12">
            <v>3.2840000000000001E-2</v>
          </cell>
          <cell r="GB12">
            <v>2.5489999999999999E-2</v>
          </cell>
          <cell r="GC12">
            <v>2.5739999999999999E-2</v>
          </cell>
          <cell r="GD12">
            <v>1.7239999999999998E-2</v>
          </cell>
          <cell r="GE12">
            <v>4.4512000000000003E-2</v>
          </cell>
          <cell r="GF12">
            <v>3.542791836734694E-2</v>
          </cell>
          <cell r="GG12">
            <v>4.1599999999999998E-2</v>
          </cell>
          <cell r="GH12">
            <v>3.2314285714285712E-2</v>
          </cell>
          <cell r="GI12">
            <v>4.4512000000000003E-2</v>
          </cell>
          <cell r="GJ12">
            <v>3.542791836734694E-2</v>
          </cell>
          <cell r="GK12">
            <v>4.1599999999999998E-2</v>
          </cell>
          <cell r="GL12">
            <v>3.2314285714285712E-2</v>
          </cell>
          <cell r="GM12">
            <v>4.1599999999999998E-2</v>
          </cell>
          <cell r="GN12">
            <v>3.2280000000000003E-2</v>
          </cell>
          <cell r="GO12">
            <v>3.2559999999999999E-2</v>
          </cell>
          <cell r="GP12">
            <v>2.1850000000000001E-2</v>
          </cell>
          <cell r="GQ12">
            <v>4.5769999999999998E-2</v>
          </cell>
          <cell r="GR12">
            <v>3.3529999999999997E-2</v>
          </cell>
          <cell r="GS12">
            <v>3.8789999999999998E-2</v>
          </cell>
          <cell r="GT12">
            <v>2.6040000000000001E-2</v>
          </cell>
          <cell r="GU12">
            <v>2.8250000000000001E-2</v>
          </cell>
          <cell r="GV12">
            <v>1.7520000000000001E-2</v>
          </cell>
          <cell r="GW12">
            <v>3.8789999999999998E-2</v>
          </cell>
          <cell r="GX12">
            <v>2.6040000000000001E-2</v>
          </cell>
          <cell r="GY12">
            <v>2.8250000000000001E-2</v>
          </cell>
          <cell r="GZ12">
            <v>1.7520000000000001E-2</v>
          </cell>
          <cell r="HA12">
            <v>3.9857500000000004E-2</v>
          </cell>
          <cell r="HB12">
            <v>3.1723316326530616E-2</v>
          </cell>
          <cell r="HC12">
            <v>3.7249999999999998E-2</v>
          </cell>
          <cell r="HD12">
            <v>2.8935267857142857E-2</v>
          </cell>
          <cell r="HE12">
            <v>3.9857500000000004E-2</v>
          </cell>
          <cell r="HF12">
            <v>3.1723316326530616E-2</v>
          </cell>
          <cell r="HG12">
            <v>3.7249999999999998E-2</v>
          </cell>
          <cell r="HH12">
            <v>2.8935267857142857E-2</v>
          </cell>
          <cell r="HI12">
            <v>3.7249999999999998E-2</v>
          </cell>
          <cell r="HJ12">
            <v>2.683E-2</v>
          </cell>
          <cell r="HK12">
            <v>2.92E-2</v>
          </cell>
          <cell r="HL12">
            <v>1.8149999999999999E-2</v>
          </cell>
          <cell r="HM12">
            <v>4.088E-2</v>
          </cell>
          <cell r="HN12">
            <v>2.794E-2</v>
          </cell>
          <cell r="HO12">
            <v>3.2199999999999999E-2</v>
          </cell>
          <cell r="HP12">
            <v>2.3199999999999998E-2</v>
          </cell>
          <cell r="HQ12">
            <v>2.5250000000000002E-2</v>
          </cell>
          <cell r="HR12">
            <v>1.5779999999999999E-2</v>
          </cell>
          <cell r="HS12">
            <v>3.2199999999999999E-2</v>
          </cell>
          <cell r="HT12">
            <v>2.3199999999999998E-2</v>
          </cell>
          <cell r="HU12">
            <v>2.5250000000000002E-2</v>
          </cell>
          <cell r="HV12">
            <v>1.5779999999999999E-2</v>
          </cell>
          <cell r="HW12" t="str">
            <v>%PPL</v>
          </cell>
        </row>
        <row r="13">
          <cell r="AC13" t="str">
            <v>PTD-GPP 3.0 PPA DIS (Distributor)</v>
          </cell>
          <cell r="AD13" t="str">
            <v>Interim Distributor</v>
          </cell>
          <cell r="AE13">
            <v>0.11</v>
          </cell>
          <cell r="AF13" t="str">
            <v>PTD-GPP 3.0 PPA DIS (Distributor)-Interim Distributor</v>
          </cell>
          <cell r="AK13" t="str">
            <v>APJ-A-PPA3</v>
          </cell>
          <cell r="AL13" t="str">
            <v>APJ-A_STD_TS_GLD_RFE_PPA3</v>
          </cell>
          <cell r="AM13" t="str">
            <v>APJ-A_STD_TS_GLD_RFE_FY_PPA3</v>
          </cell>
          <cell r="AR13" t="str">
            <v>APJ-A_STD_TS_BZE_RFE_PPA3</v>
          </cell>
          <cell r="AS13" t="str">
            <v>APJ-A_STD_TS_BZE_RFE_FY_PPA3</v>
          </cell>
          <cell r="AV13" t="str">
            <v>7250 IXR RTUs /Upgrades</v>
          </cell>
          <cell r="AW13">
            <v>0.7</v>
          </cell>
          <cell r="AX13">
            <v>0.65</v>
          </cell>
          <cell r="AY13">
            <v>0.65</v>
          </cell>
          <cell r="AZ13">
            <v>0.68</v>
          </cell>
          <cell r="BA13">
            <v>0.6</v>
          </cell>
          <cell r="BB13">
            <v>0.65</v>
          </cell>
          <cell r="BC13">
            <v>0.68</v>
          </cell>
          <cell r="BD13">
            <v>0.6</v>
          </cell>
          <cell r="BE13">
            <v>0.65</v>
          </cell>
          <cell r="BF13">
            <v>0.6</v>
          </cell>
          <cell r="BG13">
            <v>0.6</v>
          </cell>
          <cell r="BH13">
            <v>0.65</v>
          </cell>
          <cell r="BI13">
            <v>0.62</v>
          </cell>
          <cell r="BJ13">
            <v>0.6</v>
          </cell>
          <cell r="BK13">
            <v>2.5000000000000001E-2</v>
          </cell>
          <cell r="BL13" t="str">
            <v>%PMP</v>
          </cell>
          <cell r="BM13">
            <v>3.5558983650000001E-2</v>
          </cell>
          <cell r="BN13">
            <v>2.61208E-2</v>
          </cell>
          <cell r="BO13">
            <v>3.3232695E-2</v>
          </cell>
          <cell r="BP13">
            <v>1.9527200000000002E-2</v>
          </cell>
          <cell r="BQ13">
            <v>3.5558983650000001E-2</v>
          </cell>
          <cell r="BR13">
            <v>2.61208E-2</v>
          </cell>
          <cell r="BS13">
            <v>3.3232695E-2</v>
          </cell>
          <cell r="BT13">
            <v>1.9527200000000002E-2</v>
          </cell>
          <cell r="BU13">
            <v>3.3232695E-2</v>
          </cell>
          <cell r="BV13">
            <v>1.9884459000000004E-2</v>
          </cell>
          <cell r="BW13">
            <v>2.6062155E-2</v>
          </cell>
          <cell r="BX13">
            <v>1.2741497999999999E-2</v>
          </cell>
          <cell r="BY13">
            <v>3.6555964500000003E-2</v>
          </cell>
          <cell r="BZ13">
            <v>2.3435255249999998E-2</v>
          </cell>
          <cell r="CA13">
            <v>2.6599999999999999E-2</v>
          </cell>
          <cell r="CB13">
            <v>1.5915850622406639E-2</v>
          </cell>
          <cell r="CC13">
            <v>2.086E-2</v>
          </cell>
          <cell r="CD13">
            <v>1.0200000000000001E-2</v>
          </cell>
          <cell r="CE13">
            <v>2.6599999999999999E-2</v>
          </cell>
          <cell r="CF13">
            <v>1.5915850622406639E-2</v>
          </cell>
          <cell r="CG13">
            <v>2.086E-2</v>
          </cell>
          <cell r="CH13">
            <v>1.0200000000000001E-2</v>
          </cell>
          <cell r="CI13">
            <v>2.6609321258867457E-2</v>
          </cell>
          <cell r="CJ13">
            <v>1.9730928016980159E-2</v>
          </cell>
          <cell r="CK13">
            <v>2.4868524540997621E-2</v>
          </cell>
          <cell r="CL13">
            <v>1.6796584875993368E-2</v>
          </cell>
          <cell r="CM13">
            <v>2.6609321258867457E-2</v>
          </cell>
          <cell r="CN13">
            <v>1.9730928016980159E-2</v>
          </cell>
          <cell r="CO13">
            <v>2.4868524540997621E-2</v>
          </cell>
          <cell r="CP13">
            <v>1.6796584875993368E-2</v>
          </cell>
          <cell r="CQ13">
            <v>2.4868524540997621E-2</v>
          </cell>
          <cell r="CR13">
            <v>1.4756329531327004E-2</v>
          </cell>
          <cell r="CS13">
            <v>2.1731884447729895E-2</v>
          </cell>
          <cell r="CT13">
            <v>1.0766420688092663E-2</v>
          </cell>
          <cell r="CU13">
            <v>2.7359374925035471E-2</v>
          </cell>
          <cell r="CV13">
            <v>1.7398173935464025E-2</v>
          </cell>
          <cell r="CW13">
            <v>1.9904307154457023E-2</v>
          </cell>
          <cell r="CX13">
            <v>1.1815920519873124E-2</v>
          </cell>
          <cell r="CY13">
            <v>1.7398173935464025E-2</v>
          </cell>
          <cell r="CZ13">
            <v>8.6221839628170659E-3</v>
          </cell>
          <cell r="DA13">
            <v>1.9904307154457023E-2</v>
          </cell>
          <cell r="DB13">
            <v>1.1815920519873124E-2</v>
          </cell>
          <cell r="DC13">
            <v>1.7398173935464025E-2</v>
          </cell>
          <cell r="DD13">
            <v>8.6221839628170659E-3</v>
          </cell>
          <cell r="DE13">
            <v>2.7640000000000001E-2</v>
          </cell>
          <cell r="DF13">
            <v>2.3199999999999998E-2</v>
          </cell>
          <cell r="DG13">
            <v>2.4469999999999999E-2</v>
          </cell>
          <cell r="DH13">
            <v>2.0029999999999999E-2</v>
          </cell>
          <cell r="DI13">
            <v>3.2599999999999997E-2</v>
          </cell>
          <cell r="DJ13">
            <v>2.9100000000000001E-2</v>
          </cell>
          <cell r="DK13">
            <v>2.8799999999999999E-2</v>
          </cell>
          <cell r="DL13">
            <v>2.53E-2</v>
          </cell>
          <cell r="DM13">
            <v>2.18E-2</v>
          </cell>
          <cell r="DN13">
            <v>1.83E-2</v>
          </cell>
          <cell r="DO13">
            <v>1.9300000000000001E-2</v>
          </cell>
          <cell r="DP13">
            <v>1.5800000000000002E-2</v>
          </cell>
          <cell r="DQ13">
            <v>2.18E-2</v>
          </cell>
          <cell r="DR13">
            <v>1.83E-2</v>
          </cell>
          <cell r="DS13">
            <v>1.9300000000000001E-2</v>
          </cell>
          <cell r="DT13">
            <v>1.5800000000000002E-2</v>
          </cell>
          <cell r="DU13">
            <v>3.005E-2</v>
          </cell>
          <cell r="DV13">
            <v>2.2700000000000001E-2</v>
          </cell>
          <cell r="DW13">
            <v>2.6630000000000001E-2</v>
          </cell>
          <cell r="DX13">
            <v>1.6490000000000001E-2</v>
          </cell>
          <cell r="DY13">
            <v>3.3099999999999997E-2</v>
          </cell>
          <cell r="DZ13">
            <v>2.2700000000000001E-2</v>
          </cell>
          <cell r="EA13">
            <v>2.4979999999999999E-2</v>
          </cell>
          <cell r="EB13">
            <v>1.8890000000000001E-2</v>
          </cell>
          <cell r="EC13">
            <v>2.2190000000000001E-2</v>
          </cell>
          <cell r="ED13">
            <v>1.3690000000000001E-2</v>
          </cell>
          <cell r="EE13">
            <v>2.4979999999999999E-2</v>
          </cell>
          <cell r="EF13">
            <v>1.8890000000000001E-2</v>
          </cell>
          <cell r="EG13">
            <v>2.2190000000000001E-2</v>
          </cell>
          <cell r="EH13">
            <v>1.3690000000000001E-2</v>
          </cell>
          <cell r="EI13">
            <v>3.2599999999999997E-2</v>
          </cell>
          <cell r="EJ13">
            <v>2.9100000000000001E-2</v>
          </cell>
          <cell r="EK13">
            <v>2.8799999999999999E-2</v>
          </cell>
          <cell r="EL13">
            <v>2.53E-2</v>
          </cell>
          <cell r="EM13">
            <v>2.18E-2</v>
          </cell>
          <cell r="EN13">
            <v>1.83E-2</v>
          </cell>
          <cell r="EO13">
            <v>1.9300000000000001E-2</v>
          </cell>
          <cell r="EP13">
            <v>1.5800000000000002E-2</v>
          </cell>
          <cell r="EQ13">
            <v>2.18E-2</v>
          </cell>
          <cell r="ER13">
            <v>1.83E-2</v>
          </cell>
          <cell r="ES13">
            <v>1.9300000000000001E-2</v>
          </cell>
          <cell r="ET13">
            <v>1.5800000000000002E-2</v>
          </cell>
          <cell r="EU13">
            <v>3.005E-2</v>
          </cell>
          <cell r="EV13">
            <v>2.2700000000000001E-2</v>
          </cell>
          <cell r="EW13">
            <v>2.6630000000000001E-2</v>
          </cell>
          <cell r="EX13">
            <v>1.6490000000000001E-2</v>
          </cell>
          <cell r="EY13">
            <v>3.3099999999999997E-2</v>
          </cell>
          <cell r="EZ13">
            <v>2.2700000000000001E-2</v>
          </cell>
          <cell r="FA13">
            <v>2.4979999999999999E-2</v>
          </cell>
          <cell r="FB13">
            <v>1.8890000000000001E-2</v>
          </cell>
          <cell r="FC13">
            <v>2.2190000000000001E-2</v>
          </cell>
          <cell r="FD13">
            <v>1.3690000000000001E-2</v>
          </cell>
          <cell r="FE13">
            <v>2.4979999999999999E-2</v>
          </cell>
          <cell r="FF13">
            <v>1.8890000000000001E-2</v>
          </cell>
          <cell r="FG13">
            <v>2.2190000000000001E-2</v>
          </cell>
          <cell r="FH13">
            <v>1.3690000000000001E-2</v>
          </cell>
          <cell r="FI13">
            <v>4.4512000000000003E-2</v>
          </cell>
          <cell r="FJ13">
            <v>3.8402509803921576E-2</v>
          </cell>
          <cell r="FK13">
            <v>4.1599999999999998E-2</v>
          </cell>
          <cell r="FL13">
            <v>3.4827906976744184E-2</v>
          </cell>
          <cell r="FM13">
            <v>4.4512000000000003E-2</v>
          </cell>
          <cell r="FN13">
            <v>3.8402509803921576E-2</v>
          </cell>
          <cell r="FO13">
            <v>4.1599999999999998E-2</v>
          </cell>
          <cell r="FP13">
            <v>3.4827906976744184E-2</v>
          </cell>
          <cell r="FQ13">
            <v>4.1599999999999998E-2</v>
          </cell>
          <cell r="FR13">
            <v>3.2280000000000003E-2</v>
          </cell>
          <cell r="FS13">
            <v>3.2559999999999999E-2</v>
          </cell>
          <cell r="FT13">
            <v>2.1850000000000001E-2</v>
          </cell>
          <cell r="FU13">
            <v>4.5769999999999998E-2</v>
          </cell>
          <cell r="FV13">
            <v>3.3529999999999997E-2</v>
          </cell>
          <cell r="FW13">
            <v>3.2840000000000001E-2</v>
          </cell>
          <cell r="FX13">
            <v>2.5489999999999999E-2</v>
          </cell>
          <cell r="FY13">
            <v>2.5739999999999999E-2</v>
          </cell>
          <cell r="FZ13">
            <v>1.7239999999999998E-2</v>
          </cell>
          <cell r="GA13">
            <v>3.2840000000000001E-2</v>
          </cell>
          <cell r="GB13">
            <v>2.5489999999999999E-2</v>
          </cell>
          <cell r="GC13">
            <v>2.5739999999999999E-2</v>
          </cell>
          <cell r="GD13">
            <v>1.7239999999999998E-2</v>
          </cell>
          <cell r="GE13">
            <v>4.4512000000000003E-2</v>
          </cell>
          <cell r="GF13">
            <v>3.542791836734694E-2</v>
          </cell>
          <cell r="GG13">
            <v>4.1599999999999998E-2</v>
          </cell>
          <cell r="GH13">
            <v>3.2314285714285712E-2</v>
          </cell>
          <cell r="GI13">
            <v>4.4512000000000003E-2</v>
          </cell>
          <cell r="GJ13">
            <v>3.542791836734694E-2</v>
          </cell>
          <cell r="GK13">
            <v>4.1599999999999998E-2</v>
          </cell>
          <cell r="GL13">
            <v>3.2314285714285712E-2</v>
          </cell>
          <cell r="GM13">
            <v>4.1599999999999998E-2</v>
          </cell>
          <cell r="GN13">
            <v>3.2280000000000003E-2</v>
          </cell>
          <cell r="GO13">
            <v>3.2559999999999999E-2</v>
          </cell>
          <cell r="GP13">
            <v>2.1850000000000001E-2</v>
          </cell>
          <cell r="GQ13">
            <v>4.5769999999999998E-2</v>
          </cell>
          <cell r="GR13">
            <v>3.3529999999999997E-2</v>
          </cell>
          <cell r="GS13">
            <v>3.8789999999999998E-2</v>
          </cell>
          <cell r="GT13">
            <v>2.6040000000000001E-2</v>
          </cell>
          <cell r="GU13">
            <v>2.8250000000000001E-2</v>
          </cell>
          <cell r="GV13">
            <v>1.7520000000000001E-2</v>
          </cell>
          <cell r="GW13">
            <v>3.8789999999999998E-2</v>
          </cell>
          <cell r="GX13">
            <v>2.6040000000000001E-2</v>
          </cell>
          <cell r="GY13">
            <v>2.8250000000000001E-2</v>
          </cell>
          <cell r="GZ13">
            <v>1.7520000000000001E-2</v>
          </cell>
          <cell r="HA13">
            <v>3.9857500000000004E-2</v>
          </cell>
          <cell r="HB13">
            <v>3.1723316326530616E-2</v>
          </cell>
          <cell r="HC13">
            <v>3.7249999999999998E-2</v>
          </cell>
          <cell r="HD13">
            <v>2.8935267857142857E-2</v>
          </cell>
          <cell r="HE13">
            <v>3.9857500000000004E-2</v>
          </cell>
          <cell r="HF13">
            <v>3.1723316326530616E-2</v>
          </cell>
          <cell r="HG13">
            <v>3.7249999999999998E-2</v>
          </cell>
          <cell r="HH13">
            <v>2.8935267857142857E-2</v>
          </cell>
          <cell r="HI13">
            <v>3.7249999999999998E-2</v>
          </cell>
          <cell r="HJ13">
            <v>2.683E-2</v>
          </cell>
          <cell r="HK13">
            <v>2.92E-2</v>
          </cell>
          <cell r="HL13">
            <v>1.8149999999999999E-2</v>
          </cell>
          <cell r="HM13">
            <v>4.088E-2</v>
          </cell>
          <cell r="HN13">
            <v>2.794E-2</v>
          </cell>
          <cell r="HO13">
            <v>3.2199999999999999E-2</v>
          </cell>
          <cell r="HP13">
            <v>2.3199999999999998E-2</v>
          </cell>
          <cell r="HQ13">
            <v>2.5250000000000002E-2</v>
          </cell>
          <cell r="HR13">
            <v>1.5779999999999999E-2</v>
          </cell>
          <cell r="HS13">
            <v>3.2199999999999999E-2</v>
          </cell>
          <cell r="HT13">
            <v>2.3199999999999998E-2</v>
          </cell>
          <cell r="HU13">
            <v>2.5250000000000002E-2</v>
          </cell>
          <cell r="HV13">
            <v>1.5779999999999999E-2</v>
          </cell>
          <cell r="HW13" t="str">
            <v>%PPL</v>
          </cell>
        </row>
        <row r="14">
          <cell r="AC14" t="str">
            <v>PTD-GPP 3.0 PPA DIS (Distributor)</v>
          </cell>
          <cell r="AD14" t="str">
            <v>Premier Distributor</v>
          </cell>
          <cell r="AE14">
            <v>0.15</v>
          </cell>
          <cell r="AF14" t="str">
            <v>PTD-GPP 3.0 PPA DIS (Distributor)-Premier Distributor</v>
          </cell>
          <cell r="AK14" t="str">
            <v>APJ-B-PPA3</v>
          </cell>
          <cell r="AL14" t="str">
            <v>APJ-B_STD_TS_GLD_RFE_PPA3</v>
          </cell>
          <cell r="AM14" t="str">
            <v>APJ-B_STD_TS_GLD_RFE_FY_PPA3</v>
          </cell>
          <cell r="AR14" t="str">
            <v>APJ-B_STD_TS_BZE_RFE_PPA3</v>
          </cell>
          <cell r="AS14" t="str">
            <v>APJ-B_STD_TS_BZE_RFE_FY_PPA3</v>
          </cell>
          <cell r="AV14" t="str">
            <v>7250 IXR-6/10</v>
          </cell>
          <cell r="AW14">
            <v>0.35</v>
          </cell>
          <cell r="AX14">
            <v>0.35</v>
          </cell>
          <cell r="AY14">
            <v>0.35</v>
          </cell>
          <cell r="AZ14">
            <v>0.35</v>
          </cell>
          <cell r="BA14">
            <v>0.35</v>
          </cell>
          <cell r="BB14">
            <v>0.35</v>
          </cell>
          <cell r="BC14">
            <v>0.35</v>
          </cell>
          <cell r="BD14">
            <v>0.35</v>
          </cell>
          <cell r="BE14">
            <v>0.35</v>
          </cell>
          <cell r="BF14">
            <v>0.35</v>
          </cell>
          <cell r="BG14">
            <v>0.35</v>
          </cell>
          <cell r="BH14">
            <v>0.35</v>
          </cell>
          <cell r="BI14">
            <v>0.35</v>
          </cell>
          <cell r="BJ14">
            <v>0.35</v>
          </cell>
          <cell r="BK14">
            <v>2.5000000000000001E-2</v>
          </cell>
          <cell r="BL14" t="str">
            <v>%PMP</v>
          </cell>
          <cell r="BM14">
            <v>3.5558983650000001E-2</v>
          </cell>
          <cell r="BN14">
            <v>2.61208E-2</v>
          </cell>
          <cell r="BO14">
            <v>3.3232695E-2</v>
          </cell>
          <cell r="BP14">
            <v>1.9527200000000002E-2</v>
          </cell>
          <cell r="BQ14">
            <v>3.5558983650000001E-2</v>
          </cell>
          <cell r="BR14">
            <v>2.61208E-2</v>
          </cell>
          <cell r="BS14">
            <v>3.3232695E-2</v>
          </cell>
          <cell r="BT14">
            <v>1.9527200000000002E-2</v>
          </cell>
          <cell r="BU14">
            <v>3.3232695E-2</v>
          </cell>
          <cell r="BV14">
            <v>1.9884459000000004E-2</v>
          </cell>
          <cell r="BW14">
            <v>2.6062155E-2</v>
          </cell>
          <cell r="BX14">
            <v>1.2741497999999999E-2</v>
          </cell>
          <cell r="BY14">
            <v>3.6555964500000003E-2</v>
          </cell>
          <cell r="BZ14">
            <v>2.3435255249999998E-2</v>
          </cell>
          <cell r="CA14">
            <v>2.6599999999999999E-2</v>
          </cell>
          <cell r="CB14">
            <v>1.5915850622406639E-2</v>
          </cell>
          <cell r="CC14">
            <v>2.086E-2</v>
          </cell>
          <cell r="CD14">
            <v>1.0200000000000001E-2</v>
          </cell>
          <cell r="CE14">
            <v>2.6599999999999999E-2</v>
          </cell>
          <cell r="CF14">
            <v>1.5915850622406639E-2</v>
          </cell>
          <cell r="CG14">
            <v>2.086E-2</v>
          </cell>
          <cell r="CH14">
            <v>1.0200000000000001E-2</v>
          </cell>
          <cell r="CI14">
            <v>2.6609321258867457E-2</v>
          </cell>
          <cell r="CJ14">
            <v>1.9730928016980159E-2</v>
          </cell>
          <cell r="CK14">
            <v>2.4868524540997621E-2</v>
          </cell>
          <cell r="CL14">
            <v>1.6796584875993368E-2</v>
          </cell>
          <cell r="CM14">
            <v>2.6609321258867457E-2</v>
          </cell>
          <cell r="CN14">
            <v>1.9730928016980159E-2</v>
          </cell>
          <cell r="CO14">
            <v>2.4868524540997621E-2</v>
          </cell>
          <cell r="CP14">
            <v>1.6796584875993368E-2</v>
          </cell>
          <cell r="CQ14">
            <v>2.4868524540997621E-2</v>
          </cell>
          <cell r="CR14">
            <v>1.4756329531327004E-2</v>
          </cell>
          <cell r="CS14">
            <v>2.1731884447729895E-2</v>
          </cell>
          <cell r="CT14">
            <v>1.0766420688092663E-2</v>
          </cell>
          <cell r="CU14">
            <v>2.7359374925035471E-2</v>
          </cell>
          <cell r="CV14">
            <v>1.7398173935464025E-2</v>
          </cell>
          <cell r="CW14">
            <v>1.9904307154457023E-2</v>
          </cell>
          <cell r="CX14">
            <v>1.1815920519873124E-2</v>
          </cell>
          <cell r="CY14">
            <v>1.7398173935464025E-2</v>
          </cell>
          <cell r="CZ14">
            <v>8.6221839628170659E-3</v>
          </cell>
          <cell r="DA14">
            <v>1.9904307154457023E-2</v>
          </cell>
          <cell r="DB14">
            <v>1.1815920519873124E-2</v>
          </cell>
          <cell r="DC14">
            <v>1.7398173935464025E-2</v>
          </cell>
          <cell r="DD14">
            <v>8.6221839628170659E-3</v>
          </cell>
          <cell r="DE14">
            <v>2.7640000000000001E-2</v>
          </cell>
          <cell r="DF14">
            <v>2.3199999999999998E-2</v>
          </cell>
          <cell r="DG14">
            <v>2.4469999999999999E-2</v>
          </cell>
          <cell r="DH14">
            <v>2.0029999999999999E-2</v>
          </cell>
          <cell r="DI14">
            <v>3.2599999999999997E-2</v>
          </cell>
          <cell r="DJ14">
            <v>2.9100000000000001E-2</v>
          </cell>
          <cell r="DK14">
            <v>2.8799999999999999E-2</v>
          </cell>
          <cell r="DL14">
            <v>2.53E-2</v>
          </cell>
          <cell r="DM14">
            <v>2.18E-2</v>
          </cell>
          <cell r="DN14">
            <v>1.83E-2</v>
          </cell>
          <cell r="DO14">
            <v>1.9300000000000001E-2</v>
          </cell>
          <cell r="DP14">
            <v>1.5800000000000002E-2</v>
          </cell>
          <cell r="DQ14">
            <v>2.18E-2</v>
          </cell>
          <cell r="DR14">
            <v>1.83E-2</v>
          </cell>
          <cell r="DS14">
            <v>1.9300000000000001E-2</v>
          </cell>
          <cell r="DT14">
            <v>1.5800000000000002E-2</v>
          </cell>
          <cell r="DU14">
            <v>3.005E-2</v>
          </cell>
          <cell r="DV14">
            <v>2.2700000000000001E-2</v>
          </cell>
          <cell r="DW14">
            <v>2.6630000000000001E-2</v>
          </cell>
          <cell r="DX14">
            <v>1.6490000000000001E-2</v>
          </cell>
          <cell r="DY14">
            <v>3.3099999999999997E-2</v>
          </cell>
          <cell r="DZ14">
            <v>2.2700000000000001E-2</v>
          </cell>
          <cell r="EA14">
            <v>2.4979999999999999E-2</v>
          </cell>
          <cell r="EB14">
            <v>1.8890000000000001E-2</v>
          </cell>
          <cell r="EC14">
            <v>2.2190000000000001E-2</v>
          </cell>
          <cell r="ED14">
            <v>1.3690000000000001E-2</v>
          </cell>
          <cell r="EE14">
            <v>2.4979999999999999E-2</v>
          </cell>
          <cell r="EF14">
            <v>1.8890000000000001E-2</v>
          </cell>
          <cell r="EG14">
            <v>2.2190000000000001E-2</v>
          </cell>
          <cell r="EH14">
            <v>1.3690000000000001E-2</v>
          </cell>
          <cell r="EI14">
            <v>3.2599999999999997E-2</v>
          </cell>
          <cell r="EJ14">
            <v>2.9100000000000001E-2</v>
          </cell>
          <cell r="EK14">
            <v>2.8799999999999999E-2</v>
          </cell>
          <cell r="EL14">
            <v>2.53E-2</v>
          </cell>
          <cell r="EM14">
            <v>2.18E-2</v>
          </cell>
          <cell r="EN14">
            <v>1.83E-2</v>
          </cell>
          <cell r="EO14">
            <v>1.9300000000000001E-2</v>
          </cell>
          <cell r="EP14">
            <v>1.5800000000000002E-2</v>
          </cell>
          <cell r="EQ14">
            <v>2.18E-2</v>
          </cell>
          <cell r="ER14">
            <v>1.83E-2</v>
          </cell>
          <cell r="ES14">
            <v>1.9300000000000001E-2</v>
          </cell>
          <cell r="ET14">
            <v>1.5800000000000002E-2</v>
          </cell>
          <cell r="EU14">
            <v>3.005E-2</v>
          </cell>
          <cell r="EV14">
            <v>2.2700000000000001E-2</v>
          </cell>
          <cell r="EW14">
            <v>2.6630000000000001E-2</v>
          </cell>
          <cell r="EX14">
            <v>1.6490000000000001E-2</v>
          </cell>
          <cell r="EY14">
            <v>3.3099999999999997E-2</v>
          </cell>
          <cell r="EZ14">
            <v>2.2700000000000001E-2</v>
          </cell>
          <cell r="FA14">
            <v>2.4979999999999999E-2</v>
          </cell>
          <cell r="FB14">
            <v>1.8890000000000001E-2</v>
          </cell>
          <cell r="FC14">
            <v>2.2190000000000001E-2</v>
          </cell>
          <cell r="FD14">
            <v>1.3690000000000001E-2</v>
          </cell>
          <cell r="FE14">
            <v>2.4979999999999999E-2</v>
          </cell>
          <cell r="FF14">
            <v>1.8890000000000001E-2</v>
          </cell>
          <cell r="FG14">
            <v>2.2190000000000001E-2</v>
          </cell>
          <cell r="FH14">
            <v>1.3690000000000001E-2</v>
          </cell>
          <cell r="FI14">
            <v>4.4512000000000003E-2</v>
          </cell>
          <cell r="FJ14">
            <v>3.8402509803921576E-2</v>
          </cell>
          <cell r="FK14">
            <v>4.1599999999999998E-2</v>
          </cell>
          <cell r="FL14">
            <v>3.4827906976744184E-2</v>
          </cell>
          <cell r="FM14">
            <v>4.4512000000000003E-2</v>
          </cell>
          <cell r="FN14">
            <v>3.8402509803921576E-2</v>
          </cell>
          <cell r="FO14">
            <v>4.1599999999999998E-2</v>
          </cell>
          <cell r="FP14">
            <v>3.4827906976744184E-2</v>
          </cell>
          <cell r="FQ14">
            <v>4.1599999999999998E-2</v>
          </cell>
          <cell r="FR14">
            <v>3.2280000000000003E-2</v>
          </cell>
          <cell r="FS14">
            <v>3.2559999999999999E-2</v>
          </cell>
          <cell r="FT14">
            <v>2.1850000000000001E-2</v>
          </cell>
          <cell r="FU14">
            <v>4.5769999999999998E-2</v>
          </cell>
          <cell r="FV14">
            <v>3.3529999999999997E-2</v>
          </cell>
          <cell r="FW14">
            <v>3.2840000000000001E-2</v>
          </cell>
          <cell r="FX14">
            <v>2.5489999999999999E-2</v>
          </cell>
          <cell r="FY14">
            <v>2.5739999999999999E-2</v>
          </cell>
          <cell r="FZ14">
            <v>1.7239999999999998E-2</v>
          </cell>
          <cell r="GA14">
            <v>3.2840000000000001E-2</v>
          </cell>
          <cell r="GB14">
            <v>2.5489999999999999E-2</v>
          </cell>
          <cell r="GC14">
            <v>2.5739999999999999E-2</v>
          </cell>
          <cell r="GD14">
            <v>1.7239999999999998E-2</v>
          </cell>
          <cell r="GE14">
            <v>4.4512000000000003E-2</v>
          </cell>
          <cell r="GF14">
            <v>3.542791836734694E-2</v>
          </cell>
          <cell r="GG14">
            <v>4.1599999999999998E-2</v>
          </cell>
          <cell r="GH14">
            <v>3.2314285714285712E-2</v>
          </cell>
          <cell r="GI14">
            <v>4.4512000000000003E-2</v>
          </cell>
          <cell r="GJ14">
            <v>3.542791836734694E-2</v>
          </cell>
          <cell r="GK14">
            <v>4.1599999999999998E-2</v>
          </cell>
          <cell r="GL14">
            <v>3.2314285714285712E-2</v>
          </cell>
          <cell r="GM14">
            <v>4.1599999999999998E-2</v>
          </cell>
          <cell r="GN14">
            <v>3.2280000000000003E-2</v>
          </cell>
          <cell r="GO14">
            <v>3.2559999999999999E-2</v>
          </cell>
          <cell r="GP14">
            <v>2.1850000000000001E-2</v>
          </cell>
          <cell r="GQ14">
            <v>4.5769999999999998E-2</v>
          </cell>
          <cell r="GR14">
            <v>3.3529999999999997E-2</v>
          </cell>
          <cell r="GS14">
            <v>3.8789999999999998E-2</v>
          </cell>
          <cell r="GT14">
            <v>2.6040000000000001E-2</v>
          </cell>
          <cell r="GU14">
            <v>2.8250000000000001E-2</v>
          </cell>
          <cell r="GV14">
            <v>1.7520000000000001E-2</v>
          </cell>
          <cell r="GW14">
            <v>3.8789999999999998E-2</v>
          </cell>
          <cell r="GX14">
            <v>2.6040000000000001E-2</v>
          </cell>
          <cell r="GY14">
            <v>2.8250000000000001E-2</v>
          </cell>
          <cell r="GZ14">
            <v>1.7520000000000001E-2</v>
          </cell>
          <cell r="HA14">
            <v>3.9857500000000004E-2</v>
          </cell>
          <cell r="HB14">
            <v>3.1723316326530616E-2</v>
          </cell>
          <cell r="HC14">
            <v>3.7249999999999998E-2</v>
          </cell>
          <cell r="HD14">
            <v>2.8935267857142857E-2</v>
          </cell>
          <cell r="HE14">
            <v>3.9857500000000004E-2</v>
          </cell>
          <cell r="HF14">
            <v>3.1723316326530616E-2</v>
          </cell>
          <cell r="HG14">
            <v>3.7249999999999998E-2</v>
          </cell>
          <cell r="HH14">
            <v>2.8935267857142857E-2</v>
          </cell>
          <cell r="HI14">
            <v>3.7249999999999998E-2</v>
          </cell>
          <cell r="HJ14">
            <v>2.683E-2</v>
          </cell>
          <cell r="HK14">
            <v>2.92E-2</v>
          </cell>
          <cell r="HL14">
            <v>1.8149999999999999E-2</v>
          </cell>
          <cell r="HM14">
            <v>4.088E-2</v>
          </cell>
          <cell r="HN14">
            <v>2.794E-2</v>
          </cell>
          <cell r="HO14">
            <v>3.2199999999999999E-2</v>
          </cell>
          <cell r="HP14">
            <v>2.3199999999999998E-2</v>
          </cell>
          <cell r="HQ14">
            <v>2.5250000000000002E-2</v>
          </cell>
          <cell r="HR14">
            <v>1.5779999999999999E-2</v>
          </cell>
          <cell r="HS14">
            <v>3.2199999999999999E-2</v>
          </cell>
          <cell r="HT14">
            <v>2.3199999999999998E-2</v>
          </cell>
          <cell r="HU14">
            <v>2.5250000000000002E-2</v>
          </cell>
          <cell r="HV14">
            <v>1.5779999999999999E-2</v>
          </cell>
          <cell r="HW14" t="str">
            <v>%PPL</v>
          </cell>
        </row>
        <row r="15">
          <cell r="AC15" t="str">
            <v>PTD-GPP 3.0 PPA DIS (Distributor) w DMA</v>
          </cell>
          <cell r="AD15" t="str">
            <v>Base Distributor</v>
          </cell>
          <cell r="AE15">
            <v>7.0000000000000007E-2</v>
          </cell>
          <cell r="AF15" t="str">
            <v>PTD-GPP 3.0 PPA DIS (Distributor) w DMA-Base Distributor</v>
          </cell>
          <cell r="AK15" t="str">
            <v>APJ-C-PPA3</v>
          </cell>
          <cell r="AL15" t="str">
            <v>APJ-C_STD_TS_GLD_RFE_PPA3</v>
          </cell>
          <cell r="AM15" t="str">
            <v>APJ-C_STD_TS_GLD_RFE_FY_PPA3</v>
          </cell>
          <cell r="AR15" t="str">
            <v>APJ-C_STD_TS_BZE_RFE_PPA3</v>
          </cell>
          <cell r="AS15" t="str">
            <v>APJ-C_STD_TS_BZE_RFE_FY_PPA3</v>
          </cell>
          <cell r="AV15" t="str">
            <v>7250 IXR-e</v>
          </cell>
          <cell r="AW15">
            <v>0.55000000000000004</v>
          </cell>
          <cell r="AX15">
            <v>0.4</v>
          </cell>
          <cell r="AY15">
            <v>0.45</v>
          </cell>
          <cell r="AZ15">
            <v>0.55000000000000004</v>
          </cell>
          <cell r="BA15">
            <v>0.49</v>
          </cell>
          <cell r="BB15">
            <v>0.45</v>
          </cell>
          <cell r="BC15">
            <v>0.55000000000000004</v>
          </cell>
          <cell r="BD15">
            <v>0.49</v>
          </cell>
          <cell r="BE15">
            <v>0.45</v>
          </cell>
          <cell r="BF15">
            <v>0.4</v>
          </cell>
          <cell r="BG15">
            <v>0.4</v>
          </cell>
          <cell r="BH15">
            <v>0.45</v>
          </cell>
          <cell r="BI15">
            <v>0.62</v>
          </cell>
          <cell r="BJ15">
            <v>0.45</v>
          </cell>
          <cell r="BK15">
            <v>2.5000000000000001E-2</v>
          </cell>
          <cell r="BL15" t="str">
            <v>%PMP</v>
          </cell>
          <cell r="BM15">
            <v>3.5558983650000001E-2</v>
          </cell>
          <cell r="BN15">
            <v>2.61208E-2</v>
          </cell>
          <cell r="BO15">
            <v>3.3232695E-2</v>
          </cell>
          <cell r="BP15">
            <v>1.9527200000000002E-2</v>
          </cell>
          <cell r="BQ15">
            <v>3.5558983650000001E-2</v>
          </cell>
          <cell r="BR15">
            <v>2.61208E-2</v>
          </cell>
          <cell r="BS15">
            <v>3.3232695E-2</v>
          </cell>
          <cell r="BT15">
            <v>1.9527200000000002E-2</v>
          </cell>
          <cell r="BU15">
            <v>3.3232695E-2</v>
          </cell>
          <cell r="BV15">
            <v>1.9884459000000004E-2</v>
          </cell>
          <cell r="BW15">
            <v>2.6062155E-2</v>
          </cell>
          <cell r="BX15">
            <v>1.2741497999999999E-2</v>
          </cell>
          <cell r="BY15">
            <v>3.6555964500000003E-2</v>
          </cell>
          <cell r="BZ15">
            <v>2.3435255249999998E-2</v>
          </cell>
          <cell r="CA15">
            <v>2.6599999999999999E-2</v>
          </cell>
          <cell r="CB15">
            <v>1.5915850622406639E-2</v>
          </cell>
          <cell r="CC15">
            <v>2.086E-2</v>
          </cell>
          <cell r="CD15">
            <v>1.0200000000000001E-2</v>
          </cell>
          <cell r="CE15">
            <v>2.6599999999999999E-2</v>
          </cell>
          <cell r="CF15">
            <v>1.5915850622406639E-2</v>
          </cell>
          <cell r="CG15">
            <v>2.086E-2</v>
          </cell>
          <cell r="CH15">
            <v>1.0200000000000001E-2</v>
          </cell>
          <cell r="CI15">
            <v>2.6609321258867457E-2</v>
          </cell>
          <cell r="CJ15">
            <v>1.9730928016980159E-2</v>
          </cell>
          <cell r="CK15">
            <v>2.4868524540997621E-2</v>
          </cell>
          <cell r="CL15">
            <v>1.6796584875993368E-2</v>
          </cell>
          <cell r="CM15">
            <v>2.6609321258867457E-2</v>
          </cell>
          <cell r="CN15">
            <v>1.9730928016980159E-2</v>
          </cell>
          <cell r="CO15">
            <v>2.4868524540997621E-2</v>
          </cell>
          <cell r="CP15">
            <v>1.6796584875993368E-2</v>
          </cell>
          <cell r="CQ15">
            <v>2.4868524540997621E-2</v>
          </cell>
          <cell r="CR15">
            <v>1.4756329531327004E-2</v>
          </cell>
          <cell r="CS15">
            <v>2.1731884447729895E-2</v>
          </cell>
          <cell r="CT15">
            <v>1.0766420688092663E-2</v>
          </cell>
          <cell r="CU15">
            <v>2.7359374925035471E-2</v>
          </cell>
          <cell r="CV15">
            <v>1.7398173935464025E-2</v>
          </cell>
          <cell r="CW15">
            <v>1.9904307154457023E-2</v>
          </cell>
          <cell r="CX15">
            <v>1.1815920519873124E-2</v>
          </cell>
          <cell r="CY15">
            <v>1.7398173935464025E-2</v>
          </cell>
          <cell r="CZ15">
            <v>8.6221839628170659E-3</v>
          </cell>
          <cell r="DA15">
            <v>1.9904307154457023E-2</v>
          </cell>
          <cell r="DB15">
            <v>1.1815920519873124E-2</v>
          </cell>
          <cell r="DC15">
            <v>1.7398173935464025E-2</v>
          </cell>
          <cell r="DD15">
            <v>8.6221839628170659E-3</v>
          </cell>
          <cell r="DE15">
            <v>2.7640000000000001E-2</v>
          </cell>
          <cell r="DF15">
            <v>2.3199999999999998E-2</v>
          </cell>
          <cell r="DG15">
            <v>2.4469999999999999E-2</v>
          </cell>
          <cell r="DH15">
            <v>2.0029999999999999E-2</v>
          </cell>
          <cell r="DI15">
            <v>3.2599999999999997E-2</v>
          </cell>
          <cell r="DJ15">
            <v>2.9100000000000001E-2</v>
          </cell>
          <cell r="DK15">
            <v>2.8799999999999999E-2</v>
          </cell>
          <cell r="DL15">
            <v>2.53E-2</v>
          </cell>
          <cell r="DM15">
            <v>2.18E-2</v>
          </cell>
          <cell r="DN15">
            <v>1.83E-2</v>
          </cell>
          <cell r="DO15">
            <v>1.9300000000000001E-2</v>
          </cell>
          <cell r="DP15">
            <v>1.5800000000000002E-2</v>
          </cell>
          <cell r="DQ15">
            <v>2.18E-2</v>
          </cell>
          <cell r="DR15">
            <v>1.83E-2</v>
          </cell>
          <cell r="DS15">
            <v>1.9300000000000001E-2</v>
          </cell>
          <cell r="DT15">
            <v>1.5800000000000002E-2</v>
          </cell>
          <cell r="DU15">
            <v>3.005E-2</v>
          </cell>
          <cell r="DV15">
            <v>2.2700000000000001E-2</v>
          </cell>
          <cell r="DW15">
            <v>2.6630000000000001E-2</v>
          </cell>
          <cell r="DX15">
            <v>1.6490000000000001E-2</v>
          </cell>
          <cell r="DY15">
            <v>3.3099999999999997E-2</v>
          </cell>
          <cell r="DZ15">
            <v>2.2700000000000001E-2</v>
          </cell>
          <cell r="EA15">
            <v>2.4979999999999999E-2</v>
          </cell>
          <cell r="EB15">
            <v>1.8890000000000001E-2</v>
          </cell>
          <cell r="EC15">
            <v>2.2190000000000001E-2</v>
          </cell>
          <cell r="ED15">
            <v>1.3690000000000001E-2</v>
          </cell>
          <cell r="EE15">
            <v>2.4979999999999999E-2</v>
          </cell>
          <cell r="EF15">
            <v>1.8890000000000001E-2</v>
          </cell>
          <cell r="EG15">
            <v>2.2190000000000001E-2</v>
          </cell>
          <cell r="EH15">
            <v>1.3690000000000001E-2</v>
          </cell>
          <cell r="EI15">
            <v>3.2599999999999997E-2</v>
          </cell>
          <cell r="EJ15">
            <v>2.9100000000000001E-2</v>
          </cell>
          <cell r="EK15">
            <v>2.8799999999999999E-2</v>
          </cell>
          <cell r="EL15">
            <v>2.53E-2</v>
          </cell>
          <cell r="EM15">
            <v>2.18E-2</v>
          </cell>
          <cell r="EN15">
            <v>1.83E-2</v>
          </cell>
          <cell r="EO15">
            <v>1.9300000000000001E-2</v>
          </cell>
          <cell r="EP15">
            <v>1.5800000000000002E-2</v>
          </cell>
          <cell r="EQ15">
            <v>2.18E-2</v>
          </cell>
          <cell r="ER15">
            <v>1.83E-2</v>
          </cell>
          <cell r="ES15">
            <v>1.9300000000000001E-2</v>
          </cell>
          <cell r="ET15">
            <v>1.5800000000000002E-2</v>
          </cell>
          <cell r="EU15">
            <v>3.005E-2</v>
          </cell>
          <cell r="EV15">
            <v>2.2700000000000001E-2</v>
          </cell>
          <cell r="EW15">
            <v>2.6630000000000001E-2</v>
          </cell>
          <cell r="EX15">
            <v>1.6490000000000001E-2</v>
          </cell>
          <cell r="EY15">
            <v>3.3099999999999997E-2</v>
          </cell>
          <cell r="EZ15">
            <v>2.2700000000000001E-2</v>
          </cell>
          <cell r="FA15">
            <v>2.4979999999999999E-2</v>
          </cell>
          <cell r="FB15">
            <v>1.8890000000000001E-2</v>
          </cell>
          <cell r="FC15">
            <v>2.2190000000000001E-2</v>
          </cell>
          <cell r="FD15">
            <v>1.3690000000000001E-2</v>
          </cell>
          <cell r="FE15">
            <v>2.4979999999999999E-2</v>
          </cell>
          <cell r="FF15">
            <v>1.8890000000000001E-2</v>
          </cell>
          <cell r="FG15">
            <v>2.2190000000000001E-2</v>
          </cell>
          <cell r="FH15">
            <v>1.3690000000000001E-2</v>
          </cell>
          <cell r="FI15">
            <v>4.4512000000000003E-2</v>
          </cell>
          <cell r="FJ15">
            <v>3.8402509803921576E-2</v>
          </cell>
          <cell r="FK15">
            <v>4.1599999999999998E-2</v>
          </cell>
          <cell r="FL15">
            <v>3.4827906976744184E-2</v>
          </cell>
          <cell r="FM15">
            <v>4.4512000000000003E-2</v>
          </cell>
          <cell r="FN15">
            <v>3.8402509803921576E-2</v>
          </cell>
          <cell r="FO15">
            <v>4.1599999999999998E-2</v>
          </cell>
          <cell r="FP15">
            <v>3.4827906976744184E-2</v>
          </cell>
          <cell r="FQ15">
            <v>4.1599999999999998E-2</v>
          </cell>
          <cell r="FR15">
            <v>3.2280000000000003E-2</v>
          </cell>
          <cell r="FS15">
            <v>3.2559999999999999E-2</v>
          </cell>
          <cell r="FT15">
            <v>2.1850000000000001E-2</v>
          </cell>
          <cell r="FU15">
            <v>4.5769999999999998E-2</v>
          </cell>
          <cell r="FV15">
            <v>3.3529999999999997E-2</v>
          </cell>
          <cell r="FW15">
            <v>3.2840000000000001E-2</v>
          </cell>
          <cell r="FX15">
            <v>2.5489999999999999E-2</v>
          </cell>
          <cell r="FY15">
            <v>2.5739999999999999E-2</v>
          </cell>
          <cell r="FZ15">
            <v>1.7239999999999998E-2</v>
          </cell>
          <cell r="GA15">
            <v>3.2840000000000001E-2</v>
          </cell>
          <cell r="GB15">
            <v>2.5489999999999999E-2</v>
          </cell>
          <cell r="GC15">
            <v>2.5739999999999999E-2</v>
          </cell>
          <cell r="GD15">
            <v>1.7239999999999998E-2</v>
          </cell>
          <cell r="GE15">
            <v>4.4512000000000003E-2</v>
          </cell>
          <cell r="GF15">
            <v>3.542791836734694E-2</v>
          </cell>
          <cell r="GG15">
            <v>4.1599999999999998E-2</v>
          </cell>
          <cell r="GH15">
            <v>3.2314285714285712E-2</v>
          </cell>
          <cell r="GI15">
            <v>4.4512000000000003E-2</v>
          </cell>
          <cell r="GJ15">
            <v>3.542791836734694E-2</v>
          </cell>
          <cell r="GK15">
            <v>4.1599999999999998E-2</v>
          </cell>
          <cell r="GL15">
            <v>3.2314285714285712E-2</v>
          </cell>
          <cell r="GM15">
            <v>4.1599999999999998E-2</v>
          </cell>
          <cell r="GN15">
            <v>3.2280000000000003E-2</v>
          </cell>
          <cell r="GO15">
            <v>3.2559999999999999E-2</v>
          </cell>
          <cell r="GP15">
            <v>2.1850000000000001E-2</v>
          </cell>
          <cell r="GQ15">
            <v>4.5769999999999998E-2</v>
          </cell>
          <cell r="GR15">
            <v>3.3529999999999997E-2</v>
          </cell>
          <cell r="GS15">
            <v>3.8789999999999998E-2</v>
          </cell>
          <cell r="GT15">
            <v>2.6040000000000001E-2</v>
          </cell>
          <cell r="GU15">
            <v>2.8250000000000001E-2</v>
          </cell>
          <cell r="GV15">
            <v>1.7520000000000001E-2</v>
          </cell>
          <cell r="GW15">
            <v>3.8789999999999998E-2</v>
          </cell>
          <cell r="GX15">
            <v>2.6040000000000001E-2</v>
          </cell>
          <cell r="GY15">
            <v>2.8250000000000001E-2</v>
          </cell>
          <cell r="GZ15">
            <v>1.7520000000000001E-2</v>
          </cell>
          <cell r="HA15">
            <v>3.9857500000000004E-2</v>
          </cell>
          <cell r="HB15">
            <v>3.1723316326530616E-2</v>
          </cell>
          <cell r="HC15">
            <v>3.7249999999999998E-2</v>
          </cell>
          <cell r="HD15">
            <v>2.8935267857142857E-2</v>
          </cell>
          <cell r="HE15">
            <v>3.9857500000000004E-2</v>
          </cell>
          <cell r="HF15">
            <v>3.1723316326530616E-2</v>
          </cell>
          <cell r="HG15">
            <v>3.7249999999999998E-2</v>
          </cell>
          <cell r="HH15">
            <v>2.8935267857142857E-2</v>
          </cell>
          <cell r="HI15">
            <v>3.7249999999999998E-2</v>
          </cell>
          <cell r="HJ15">
            <v>2.683E-2</v>
          </cell>
          <cell r="HK15">
            <v>2.92E-2</v>
          </cell>
          <cell r="HL15">
            <v>1.8149999999999999E-2</v>
          </cell>
          <cell r="HM15">
            <v>4.088E-2</v>
          </cell>
          <cell r="HN15">
            <v>2.794E-2</v>
          </cell>
          <cell r="HO15">
            <v>3.2199999999999999E-2</v>
          </cell>
          <cell r="HP15">
            <v>2.3199999999999998E-2</v>
          </cell>
          <cell r="HQ15">
            <v>2.5250000000000002E-2</v>
          </cell>
          <cell r="HR15">
            <v>1.5779999999999999E-2</v>
          </cell>
          <cell r="HS15">
            <v>3.2199999999999999E-2</v>
          </cell>
          <cell r="HT15">
            <v>2.3199999999999998E-2</v>
          </cell>
          <cell r="HU15">
            <v>2.5250000000000002E-2</v>
          </cell>
          <cell r="HV15">
            <v>1.5779999999999999E-2</v>
          </cell>
          <cell r="HW15" t="str">
            <v>%PPL</v>
          </cell>
        </row>
        <row r="16">
          <cell r="AC16" t="str">
            <v>PTD-GPP 3.0 PPA DIS (Distributor) w DMA</v>
          </cell>
          <cell r="AD16" t="str">
            <v>Interim Distributor</v>
          </cell>
          <cell r="AE16">
            <v>0.11</v>
          </cell>
          <cell r="AF16" t="str">
            <v>PTD-GPP 3.0 PPA DIS (Distributor) w DMA-Interim Distributor</v>
          </cell>
          <cell r="AK16" t="str">
            <v>NAR-PMA_NBOS</v>
          </cell>
          <cell r="AL16" t="str">
            <v>NAR_NBOS_TS_RFE</v>
          </cell>
          <cell r="AM16" t="str">
            <v>NAR_NBOS_TS_RFE_FY</v>
          </cell>
          <cell r="AN16" t="str">
            <v>NAR_NBOS_TS_RFR</v>
          </cell>
          <cell r="AO16" t="str">
            <v>NAR_NBOS_TS_RFR_FY</v>
          </cell>
          <cell r="AP16" t="str">
            <v>NAR_NBOS_TS_AE</v>
          </cell>
          <cell r="AQ16" t="str">
            <v>NAR_NBOS_TS_AE_FY</v>
          </cell>
          <cell r="AV16" t="str">
            <v>7250 IXR-R4/6</v>
          </cell>
          <cell r="AW16">
            <v>0.7</v>
          </cell>
          <cell r="AX16">
            <v>0.62</v>
          </cell>
          <cell r="AY16">
            <v>0.65</v>
          </cell>
          <cell r="AZ16">
            <v>0.6</v>
          </cell>
          <cell r="BA16">
            <v>0.56399999999999995</v>
          </cell>
          <cell r="BB16">
            <v>0.6</v>
          </cell>
          <cell r="BC16">
            <v>0.6</v>
          </cell>
          <cell r="BD16">
            <v>0.56399999999999995</v>
          </cell>
          <cell r="BE16">
            <v>0.6</v>
          </cell>
          <cell r="BF16">
            <v>0.67</v>
          </cell>
          <cell r="BG16">
            <v>0.65</v>
          </cell>
          <cell r="BH16">
            <v>0.65</v>
          </cell>
          <cell r="BI16">
            <v>0.68</v>
          </cell>
          <cell r="BJ16">
            <v>0.6</v>
          </cell>
          <cell r="BK16">
            <v>2.5000000000000001E-2</v>
          </cell>
          <cell r="BL16" t="str">
            <v>%PMP</v>
          </cell>
          <cell r="BM16">
            <v>3.5558983650000001E-2</v>
          </cell>
          <cell r="BN16">
            <v>2.61208E-2</v>
          </cell>
          <cell r="BO16">
            <v>3.3232695E-2</v>
          </cell>
          <cell r="BP16">
            <v>1.9527200000000002E-2</v>
          </cell>
          <cell r="BQ16">
            <v>3.5558983650000001E-2</v>
          </cell>
          <cell r="BR16">
            <v>2.61208E-2</v>
          </cell>
          <cell r="BS16">
            <v>3.3232695E-2</v>
          </cell>
          <cell r="BT16">
            <v>1.9527200000000002E-2</v>
          </cell>
          <cell r="BU16">
            <v>3.3232695E-2</v>
          </cell>
          <cell r="BV16">
            <v>1.9884459000000004E-2</v>
          </cell>
          <cell r="BW16">
            <v>2.6062155E-2</v>
          </cell>
          <cell r="BX16">
            <v>1.2741497999999999E-2</v>
          </cell>
          <cell r="BY16">
            <v>3.6555964500000003E-2</v>
          </cell>
          <cell r="BZ16">
            <v>2.3435255249999998E-2</v>
          </cell>
          <cell r="CA16">
            <v>2.6599999999999999E-2</v>
          </cell>
          <cell r="CB16">
            <v>1.5915850622406639E-2</v>
          </cell>
          <cell r="CC16">
            <v>2.086E-2</v>
          </cell>
          <cell r="CD16">
            <v>1.0200000000000001E-2</v>
          </cell>
          <cell r="CE16">
            <v>2.6599999999999999E-2</v>
          </cell>
          <cell r="CF16">
            <v>1.5915850622406639E-2</v>
          </cell>
          <cell r="CG16">
            <v>2.086E-2</v>
          </cell>
          <cell r="CH16">
            <v>1.0200000000000001E-2</v>
          </cell>
          <cell r="CI16">
            <v>2.6609321258867457E-2</v>
          </cell>
          <cell r="CJ16">
            <v>1.9730928016980159E-2</v>
          </cell>
          <cell r="CK16">
            <v>2.4868524540997621E-2</v>
          </cell>
          <cell r="CL16">
            <v>1.6796584875993368E-2</v>
          </cell>
          <cell r="CM16">
            <v>2.6609321258867457E-2</v>
          </cell>
          <cell r="CN16">
            <v>1.9730928016980159E-2</v>
          </cell>
          <cell r="CO16">
            <v>2.4868524540997621E-2</v>
          </cell>
          <cell r="CP16">
            <v>1.6796584875993368E-2</v>
          </cell>
          <cell r="CQ16">
            <v>2.4868524540997621E-2</v>
          </cell>
          <cell r="CR16">
            <v>1.4756329531327004E-2</v>
          </cell>
          <cell r="CS16">
            <v>2.1731884447729895E-2</v>
          </cell>
          <cell r="CT16">
            <v>1.0766420688092663E-2</v>
          </cell>
          <cell r="CU16">
            <v>2.7359374925035471E-2</v>
          </cell>
          <cell r="CV16">
            <v>1.7398173935464025E-2</v>
          </cell>
          <cell r="CW16">
            <v>1.9904307154457023E-2</v>
          </cell>
          <cell r="CX16">
            <v>1.1815920519873124E-2</v>
          </cell>
          <cell r="CY16">
            <v>1.7398173935464025E-2</v>
          </cell>
          <cell r="CZ16">
            <v>8.6221839628170659E-3</v>
          </cell>
          <cell r="DA16">
            <v>1.9904307154457023E-2</v>
          </cell>
          <cell r="DB16">
            <v>1.1815920519873124E-2</v>
          </cell>
          <cell r="DC16">
            <v>1.7398173935464025E-2</v>
          </cell>
          <cell r="DD16">
            <v>8.6221839628170659E-3</v>
          </cell>
          <cell r="DE16">
            <v>2.7640000000000001E-2</v>
          </cell>
          <cell r="DF16">
            <v>2.3199999999999998E-2</v>
          </cell>
          <cell r="DG16">
            <v>2.4469999999999999E-2</v>
          </cell>
          <cell r="DH16">
            <v>2.0029999999999999E-2</v>
          </cell>
          <cell r="DI16">
            <v>3.2599999999999997E-2</v>
          </cell>
          <cell r="DJ16">
            <v>2.9100000000000001E-2</v>
          </cell>
          <cell r="DK16">
            <v>2.8799999999999999E-2</v>
          </cell>
          <cell r="DL16">
            <v>2.53E-2</v>
          </cell>
          <cell r="DM16">
            <v>2.18E-2</v>
          </cell>
          <cell r="DN16">
            <v>1.83E-2</v>
          </cell>
          <cell r="DO16">
            <v>1.9300000000000001E-2</v>
          </cell>
          <cell r="DP16">
            <v>1.5800000000000002E-2</v>
          </cell>
          <cell r="DQ16">
            <v>2.18E-2</v>
          </cell>
          <cell r="DR16">
            <v>1.83E-2</v>
          </cell>
          <cell r="DS16">
            <v>1.9300000000000001E-2</v>
          </cell>
          <cell r="DT16">
            <v>1.5800000000000002E-2</v>
          </cell>
          <cell r="DU16">
            <v>3.005E-2</v>
          </cell>
          <cell r="DV16">
            <v>2.2700000000000001E-2</v>
          </cell>
          <cell r="DW16">
            <v>2.6630000000000001E-2</v>
          </cell>
          <cell r="DX16">
            <v>1.6490000000000001E-2</v>
          </cell>
          <cell r="DY16">
            <v>3.3099999999999997E-2</v>
          </cell>
          <cell r="DZ16">
            <v>2.2700000000000001E-2</v>
          </cell>
          <cell r="EA16">
            <v>2.4979999999999999E-2</v>
          </cell>
          <cell r="EB16">
            <v>1.8890000000000001E-2</v>
          </cell>
          <cell r="EC16">
            <v>2.2190000000000001E-2</v>
          </cell>
          <cell r="ED16">
            <v>1.3690000000000001E-2</v>
          </cell>
          <cell r="EE16">
            <v>2.4979999999999999E-2</v>
          </cell>
          <cell r="EF16">
            <v>1.8890000000000001E-2</v>
          </cell>
          <cell r="EG16">
            <v>2.2190000000000001E-2</v>
          </cell>
          <cell r="EH16">
            <v>1.3690000000000001E-2</v>
          </cell>
          <cell r="EI16">
            <v>3.2599999999999997E-2</v>
          </cell>
          <cell r="EJ16">
            <v>2.9100000000000001E-2</v>
          </cell>
          <cell r="EK16">
            <v>2.8799999999999999E-2</v>
          </cell>
          <cell r="EL16">
            <v>2.53E-2</v>
          </cell>
          <cell r="EM16">
            <v>2.18E-2</v>
          </cell>
          <cell r="EN16">
            <v>1.83E-2</v>
          </cell>
          <cell r="EO16">
            <v>1.9300000000000001E-2</v>
          </cell>
          <cell r="EP16">
            <v>1.5800000000000002E-2</v>
          </cell>
          <cell r="EQ16">
            <v>2.18E-2</v>
          </cell>
          <cell r="ER16">
            <v>1.83E-2</v>
          </cell>
          <cell r="ES16">
            <v>1.9300000000000001E-2</v>
          </cell>
          <cell r="ET16">
            <v>1.5800000000000002E-2</v>
          </cell>
          <cell r="EU16">
            <v>3.005E-2</v>
          </cell>
          <cell r="EV16">
            <v>2.2700000000000001E-2</v>
          </cell>
          <cell r="EW16">
            <v>2.6630000000000001E-2</v>
          </cell>
          <cell r="EX16">
            <v>1.6490000000000001E-2</v>
          </cell>
          <cell r="EY16">
            <v>3.3099999999999997E-2</v>
          </cell>
          <cell r="EZ16">
            <v>2.2700000000000001E-2</v>
          </cell>
          <cell r="FA16">
            <v>2.4979999999999999E-2</v>
          </cell>
          <cell r="FB16">
            <v>1.8890000000000001E-2</v>
          </cell>
          <cell r="FC16">
            <v>2.2190000000000001E-2</v>
          </cell>
          <cell r="FD16">
            <v>1.3690000000000001E-2</v>
          </cell>
          <cell r="FE16">
            <v>2.4979999999999999E-2</v>
          </cell>
          <cell r="FF16">
            <v>1.8890000000000001E-2</v>
          </cell>
          <cell r="FG16">
            <v>2.2190000000000001E-2</v>
          </cell>
          <cell r="FH16">
            <v>1.3690000000000001E-2</v>
          </cell>
          <cell r="FI16">
            <v>4.4512000000000003E-2</v>
          </cell>
          <cell r="FJ16">
            <v>3.8402509803921576E-2</v>
          </cell>
          <cell r="FK16">
            <v>4.1599999999999998E-2</v>
          </cell>
          <cell r="FL16">
            <v>3.4827906976744184E-2</v>
          </cell>
          <cell r="FM16">
            <v>4.4512000000000003E-2</v>
          </cell>
          <cell r="FN16">
            <v>3.8402509803921576E-2</v>
          </cell>
          <cell r="FO16">
            <v>4.1599999999999998E-2</v>
          </cell>
          <cell r="FP16">
            <v>3.4827906976744184E-2</v>
          </cell>
          <cell r="FQ16">
            <v>4.1599999999999998E-2</v>
          </cell>
          <cell r="FR16">
            <v>3.2280000000000003E-2</v>
          </cell>
          <cell r="FS16">
            <v>3.2559999999999999E-2</v>
          </cell>
          <cell r="FT16">
            <v>2.1850000000000001E-2</v>
          </cell>
          <cell r="FU16">
            <v>4.5769999999999998E-2</v>
          </cell>
          <cell r="FV16">
            <v>3.3529999999999997E-2</v>
          </cell>
          <cell r="FW16">
            <v>3.2840000000000001E-2</v>
          </cell>
          <cell r="FX16">
            <v>2.5489999999999999E-2</v>
          </cell>
          <cell r="FY16">
            <v>2.5739999999999999E-2</v>
          </cell>
          <cell r="FZ16">
            <v>1.7239999999999998E-2</v>
          </cell>
          <cell r="GA16">
            <v>3.2840000000000001E-2</v>
          </cell>
          <cell r="GB16">
            <v>2.5489999999999999E-2</v>
          </cell>
          <cell r="GC16">
            <v>2.5739999999999999E-2</v>
          </cell>
          <cell r="GD16">
            <v>1.7239999999999998E-2</v>
          </cell>
          <cell r="GE16">
            <v>4.4512000000000003E-2</v>
          </cell>
          <cell r="GF16">
            <v>3.542791836734694E-2</v>
          </cell>
          <cell r="GG16">
            <v>4.1599999999999998E-2</v>
          </cell>
          <cell r="GH16">
            <v>3.2314285714285712E-2</v>
          </cell>
          <cell r="GI16">
            <v>4.4512000000000003E-2</v>
          </cell>
          <cell r="GJ16">
            <v>3.542791836734694E-2</v>
          </cell>
          <cell r="GK16">
            <v>4.1599999999999998E-2</v>
          </cell>
          <cell r="GL16">
            <v>3.2314285714285712E-2</v>
          </cell>
          <cell r="GM16">
            <v>4.1599999999999998E-2</v>
          </cell>
          <cell r="GN16">
            <v>3.2280000000000003E-2</v>
          </cell>
          <cell r="GO16">
            <v>3.2559999999999999E-2</v>
          </cell>
          <cell r="GP16">
            <v>2.1850000000000001E-2</v>
          </cell>
          <cell r="GQ16">
            <v>4.5769999999999998E-2</v>
          </cell>
          <cell r="GR16">
            <v>3.3529999999999997E-2</v>
          </cell>
          <cell r="GS16">
            <v>3.8789999999999998E-2</v>
          </cell>
          <cell r="GT16">
            <v>2.6040000000000001E-2</v>
          </cell>
          <cell r="GU16">
            <v>2.8250000000000001E-2</v>
          </cell>
          <cell r="GV16">
            <v>1.7520000000000001E-2</v>
          </cell>
          <cell r="GW16">
            <v>3.8789999999999998E-2</v>
          </cell>
          <cell r="GX16">
            <v>2.6040000000000001E-2</v>
          </cell>
          <cell r="GY16">
            <v>2.8250000000000001E-2</v>
          </cell>
          <cell r="GZ16">
            <v>1.7520000000000001E-2</v>
          </cell>
          <cell r="HA16">
            <v>3.9857500000000004E-2</v>
          </cell>
          <cell r="HB16">
            <v>3.1723316326530616E-2</v>
          </cell>
          <cell r="HC16">
            <v>3.7249999999999998E-2</v>
          </cell>
          <cell r="HD16">
            <v>2.8935267857142857E-2</v>
          </cell>
          <cell r="HE16">
            <v>3.9857500000000004E-2</v>
          </cell>
          <cell r="HF16">
            <v>3.1723316326530616E-2</v>
          </cell>
          <cell r="HG16">
            <v>3.7249999999999998E-2</v>
          </cell>
          <cell r="HH16">
            <v>2.8935267857142857E-2</v>
          </cell>
          <cell r="HI16">
            <v>3.7249999999999998E-2</v>
          </cell>
          <cell r="HJ16">
            <v>2.683E-2</v>
          </cell>
          <cell r="HK16">
            <v>2.92E-2</v>
          </cell>
          <cell r="HL16">
            <v>1.8149999999999999E-2</v>
          </cell>
          <cell r="HM16">
            <v>4.088E-2</v>
          </cell>
          <cell r="HN16">
            <v>2.794E-2</v>
          </cell>
          <cell r="HO16">
            <v>3.2199999999999999E-2</v>
          </cell>
          <cell r="HP16">
            <v>2.3199999999999998E-2</v>
          </cell>
          <cell r="HQ16">
            <v>2.5250000000000002E-2</v>
          </cell>
          <cell r="HR16">
            <v>1.5779999999999999E-2</v>
          </cell>
          <cell r="HS16">
            <v>3.2199999999999999E-2</v>
          </cell>
          <cell r="HT16">
            <v>2.3199999999999998E-2</v>
          </cell>
          <cell r="HU16">
            <v>2.5250000000000002E-2</v>
          </cell>
          <cell r="HV16">
            <v>1.5779999999999999E-2</v>
          </cell>
          <cell r="HW16" t="str">
            <v>%PPL</v>
          </cell>
        </row>
        <row r="17">
          <cell r="AC17" t="str">
            <v>PTD-GPP 3.0 PPA DIS (Distributor) w DMA</v>
          </cell>
          <cell r="AD17" t="str">
            <v>Premier Distributor</v>
          </cell>
          <cell r="AE17">
            <v>0.15</v>
          </cell>
          <cell r="AF17" t="str">
            <v>PTD-GPP 3.0 PPA DIS (Distributor) w DMA-Premier Distributor</v>
          </cell>
          <cell r="AK17" t="str">
            <v>CALA-PMA_NBOS</v>
          </cell>
          <cell r="AL17" t="str">
            <v>CALA_NBOS_TS_RFE</v>
          </cell>
          <cell r="AM17" t="str">
            <v>CALA_NBOS_TS_RFE_FY</v>
          </cell>
          <cell r="AN17" t="str">
            <v>CALA_NBOS_TS_RFR</v>
          </cell>
          <cell r="AO17" t="str">
            <v>CALA_NBOS_TS_RFR_FY</v>
          </cell>
          <cell r="AP17" t="str">
            <v>CALA_NBOS_TS_AE</v>
          </cell>
          <cell r="AQ17" t="str">
            <v>CALA_NBOS_TS_AE_FY</v>
          </cell>
          <cell r="AV17" t="str">
            <v>7250 IXR-s</v>
          </cell>
          <cell r="AW17">
            <v>0.55000000000000004</v>
          </cell>
          <cell r="AX17">
            <v>0.4</v>
          </cell>
          <cell r="AY17">
            <v>0.45</v>
          </cell>
          <cell r="AZ17">
            <v>0.55000000000000004</v>
          </cell>
          <cell r="BA17">
            <v>0.49</v>
          </cell>
          <cell r="BB17">
            <v>0.45</v>
          </cell>
          <cell r="BC17">
            <v>0.55000000000000004</v>
          </cell>
          <cell r="BD17">
            <v>0.49</v>
          </cell>
          <cell r="BE17">
            <v>0.45</v>
          </cell>
          <cell r="BF17">
            <v>0.4</v>
          </cell>
          <cell r="BG17">
            <v>0.4</v>
          </cell>
          <cell r="BH17">
            <v>0.45</v>
          </cell>
          <cell r="BI17">
            <v>0.74</v>
          </cell>
          <cell r="BJ17">
            <v>0.45</v>
          </cell>
          <cell r="BK17">
            <v>2.5000000000000001E-2</v>
          </cell>
          <cell r="BL17" t="str">
            <v>%PMP</v>
          </cell>
          <cell r="BM17">
            <v>3.5558983650000001E-2</v>
          </cell>
          <cell r="BN17">
            <v>2.61208E-2</v>
          </cell>
          <cell r="BO17">
            <v>3.3232695E-2</v>
          </cell>
          <cell r="BP17">
            <v>1.9527200000000002E-2</v>
          </cell>
          <cell r="BQ17">
            <v>3.5558983650000001E-2</v>
          </cell>
          <cell r="BR17">
            <v>2.61208E-2</v>
          </cell>
          <cell r="BS17">
            <v>3.3232695E-2</v>
          </cell>
          <cell r="BT17">
            <v>1.9527200000000002E-2</v>
          </cell>
          <cell r="BU17">
            <v>3.3232695E-2</v>
          </cell>
          <cell r="BV17">
            <v>1.9884459000000004E-2</v>
          </cell>
          <cell r="BW17">
            <v>2.6062155E-2</v>
          </cell>
          <cell r="BX17">
            <v>1.2741497999999999E-2</v>
          </cell>
          <cell r="BY17">
            <v>3.6555964500000003E-2</v>
          </cell>
          <cell r="BZ17">
            <v>2.3435255249999998E-2</v>
          </cell>
          <cell r="CA17">
            <v>2.6599999999999999E-2</v>
          </cell>
          <cell r="CB17">
            <v>1.5915850622406639E-2</v>
          </cell>
          <cell r="CC17">
            <v>2.086E-2</v>
          </cell>
          <cell r="CD17">
            <v>1.0200000000000001E-2</v>
          </cell>
          <cell r="CE17">
            <v>2.6599999999999999E-2</v>
          </cell>
          <cell r="CF17">
            <v>1.5915850622406639E-2</v>
          </cell>
          <cell r="CG17">
            <v>2.086E-2</v>
          </cell>
          <cell r="CH17">
            <v>1.0200000000000001E-2</v>
          </cell>
          <cell r="CI17">
            <v>2.6609321258867457E-2</v>
          </cell>
          <cell r="CJ17">
            <v>1.9730928016980159E-2</v>
          </cell>
          <cell r="CK17">
            <v>2.4868524540997621E-2</v>
          </cell>
          <cell r="CL17">
            <v>1.6796584875993368E-2</v>
          </cell>
          <cell r="CM17">
            <v>2.6609321258867457E-2</v>
          </cell>
          <cell r="CN17">
            <v>1.9730928016980159E-2</v>
          </cell>
          <cell r="CO17">
            <v>2.4868524540997621E-2</v>
          </cell>
          <cell r="CP17">
            <v>1.6796584875993368E-2</v>
          </cell>
          <cell r="CQ17">
            <v>2.4868524540997621E-2</v>
          </cell>
          <cell r="CR17">
            <v>1.4756329531327004E-2</v>
          </cell>
          <cell r="CS17">
            <v>2.1731884447729895E-2</v>
          </cell>
          <cell r="CT17">
            <v>1.0766420688092663E-2</v>
          </cell>
          <cell r="CU17">
            <v>2.7359374925035471E-2</v>
          </cell>
          <cell r="CV17">
            <v>1.7398173935464025E-2</v>
          </cell>
          <cell r="CW17">
            <v>1.9904307154457023E-2</v>
          </cell>
          <cell r="CX17">
            <v>1.1815920519873124E-2</v>
          </cell>
          <cell r="CY17">
            <v>1.7398173935464025E-2</v>
          </cell>
          <cell r="CZ17">
            <v>8.6221839628170659E-3</v>
          </cell>
          <cell r="DA17">
            <v>1.9904307154457023E-2</v>
          </cell>
          <cell r="DB17">
            <v>1.1815920519873124E-2</v>
          </cell>
          <cell r="DC17">
            <v>1.7398173935464025E-2</v>
          </cell>
          <cell r="DD17">
            <v>8.6221839628170659E-3</v>
          </cell>
          <cell r="DE17">
            <v>2.7640000000000001E-2</v>
          </cell>
          <cell r="DF17">
            <v>2.3199999999999998E-2</v>
          </cell>
          <cell r="DG17">
            <v>2.4469999999999999E-2</v>
          </cell>
          <cell r="DH17">
            <v>2.0029999999999999E-2</v>
          </cell>
          <cell r="DI17">
            <v>3.2599999999999997E-2</v>
          </cell>
          <cell r="DJ17">
            <v>2.9100000000000001E-2</v>
          </cell>
          <cell r="DK17">
            <v>2.8799999999999999E-2</v>
          </cell>
          <cell r="DL17">
            <v>2.53E-2</v>
          </cell>
          <cell r="DM17">
            <v>2.18E-2</v>
          </cell>
          <cell r="DN17">
            <v>1.83E-2</v>
          </cell>
          <cell r="DO17">
            <v>1.9300000000000001E-2</v>
          </cell>
          <cell r="DP17">
            <v>1.5800000000000002E-2</v>
          </cell>
          <cell r="DQ17">
            <v>2.18E-2</v>
          </cell>
          <cell r="DR17">
            <v>1.83E-2</v>
          </cell>
          <cell r="DS17">
            <v>1.9300000000000001E-2</v>
          </cell>
          <cell r="DT17">
            <v>1.5800000000000002E-2</v>
          </cell>
          <cell r="DU17">
            <v>3.005E-2</v>
          </cell>
          <cell r="DV17">
            <v>2.2700000000000001E-2</v>
          </cell>
          <cell r="DW17">
            <v>2.6630000000000001E-2</v>
          </cell>
          <cell r="DX17">
            <v>1.6490000000000001E-2</v>
          </cell>
          <cell r="DY17">
            <v>3.3099999999999997E-2</v>
          </cell>
          <cell r="DZ17">
            <v>2.2700000000000001E-2</v>
          </cell>
          <cell r="EA17">
            <v>2.4979999999999999E-2</v>
          </cell>
          <cell r="EB17">
            <v>1.8890000000000001E-2</v>
          </cell>
          <cell r="EC17">
            <v>2.2190000000000001E-2</v>
          </cell>
          <cell r="ED17">
            <v>1.3690000000000001E-2</v>
          </cell>
          <cell r="EE17">
            <v>2.4979999999999999E-2</v>
          </cell>
          <cell r="EF17">
            <v>1.8890000000000001E-2</v>
          </cell>
          <cell r="EG17">
            <v>2.2190000000000001E-2</v>
          </cell>
          <cell r="EH17">
            <v>1.3690000000000001E-2</v>
          </cell>
          <cell r="EI17">
            <v>3.2599999999999997E-2</v>
          </cell>
          <cell r="EJ17">
            <v>2.9100000000000001E-2</v>
          </cell>
          <cell r="EK17">
            <v>2.8799999999999999E-2</v>
          </cell>
          <cell r="EL17">
            <v>2.53E-2</v>
          </cell>
          <cell r="EM17">
            <v>2.18E-2</v>
          </cell>
          <cell r="EN17">
            <v>1.83E-2</v>
          </cell>
          <cell r="EO17">
            <v>1.9300000000000001E-2</v>
          </cell>
          <cell r="EP17">
            <v>1.5800000000000002E-2</v>
          </cell>
          <cell r="EQ17">
            <v>2.18E-2</v>
          </cell>
          <cell r="ER17">
            <v>1.83E-2</v>
          </cell>
          <cell r="ES17">
            <v>1.9300000000000001E-2</v>
          </cell>
          <cell r="ET17">
            <v>1.5800000000000002E-2</v>
          </cell>
          <cell r="EU17">
            <v>3.005E-2</v>
          </cell>
          <cell r="EV17">
            <v>2.2700000000000001E-2</v>
          </cell>
          <cell r="EW17">
            <v>2.6630000000000001E-2</v>
          </cell>
          <cell r="EX17">
            <v>1.6490000000000001E-2</v>
          </cell>
          <cell r="EY17">
            <v>3.3099999999999997E-2</v>
          </cell>
          <cell r="EZ17">
            <v>2.2700000000000001E-2</v>
          </cell>
          <cell r="FA17">
            <v>2.4979999999999999E-2</v>
          </cell>
          <cell r="FB17">
            <v>1.8890000000000001E-2</v>
          </cell>
          <cell r="FC17">
            <v>2.2190000000000001E-2</v>
          </cell>
          <cell r="FD17">
            <v>1.3690000000000001E-2</v>
          </cell>
          <cell r="FE17">
            <v>2.4979999999999999E-2</v>
          </cell>
          <cell r="FF17">
            <v>1.8890000000000001E-2</v>
          </cell>
          <cell r="FG17">
            <v>2.2190000000000001E-2</v>
          </cell>
          <cell r="FH17">
            <v>1.3690000000000001E-2</v>
          </cell>
          <cell r="FI17">
            <v>4.4512000000000003E-2</v>
          </cell>
          <cell r="FJ17">
            <v>3.8402509803921576E-2</v>
          </cell>
          <cell r="FK17">
            <v>4.1599999999999998E-2</v>
          </cell>
          <cell r="FL17">
            <v>3.4827906976744184E-2</v>
          </cell>
          <cell r="FM17">
            <v>4.4512000000000003E-2</v>
          </cell>
          <cell r="FN17">
            <v>3.8402509803921576E-2</v>
          </cell>
          <cell r="FO17">
            <v>4.1599999999999998E-2</v>
          </cell>
          <cell r="FP17">
            <v>3.4827906976744184E-2</v>
          </cell>
          <cell r="FQ17">
            <v>4.1599999999999998E-2</v>
          </cell>
          <cell r="FR17">
            <v>3.2280000000000003E-2</v>
          </cell>
          <cell r="FS17">
            <v>3.2559999999999999E-2</v>
          </cell>
          <cell r="FT17">
            <v>2.1850000000000001E-2</v>
          </cell>
          <cell r="FU17">
            <v>4.5769999999999998E-2</v>
          </cell>
          <cell r="FV17">
            <v>3.3529999999999997E-2</v>
          </cell>
          <cell r="FW17">
            <v>3.2840000000000001E-2</v>
          </cell>
          <cell r="FX17">
            <v>2.5489999999999999E-2</v>
          </cell>
          <cell r="FY17">
            <v>2.5739999999999999E-2</v>
          </cell>
          <cell r="FZ17">
            <v>1.7239999999999998E-2</v>
          </cell>
          <cell r="GA17">
            <v>3.2840000000000001E-2</v>
          </cell>
          <cell r="GB17">
            <v>2.5489999999999999E-2</v>
          </cell>
          <cell r="GC17">
            <v>2.5739999999999999E-2</v>
          </cell>
          <cell r="GD17">
            <v>1.7239999999999998E-2</v>
          </cell>
          <cell r="GE17">
            <v>4.4512000000000003E-2</v>
          </cell>
          <cell r="GF17">
            <v>3.542791836734694E-2</v>
          </cell>
          <cell r="GG17">
            <v>4.1599999999999998E-2</v>
          </cell>
          <cell r="GH17">
            <v>3.2314285714285712E-2</v>
          </cell>
          <cell r="GI17">
            <v>4.4512000000000003E-2</v>
          </cell>
          <cell r="GJ17">
            <v>3.542791836734694E-2</v>
          </cell>
          <cell r="GK17">
            <v>4.1599999999999998E-2</v>
          </cell>
          <cell r="GL17">
            <v>3.2314285714285712E-2</v>
          </cell>
          <cell r="GM17">
            <v>4.1599999999999998E-2</v>
          </cell>
          <cell r="GN17">
            <v>3.2280000000000003E-2</v>
          </cell>
          <cell r="GO17">
            <v>3.2559999999999999E-2</v>
          </cell>
          <cell r="GP17">
            <v>2.1850000000000001E-2</v>
          </cell>
          <cell r="GQ17">
            <v>4.5769999999999998E-2</v>
          </cell>
          <cell r="GR17">
            <v>3.3529999999999997E-2</v>
          </cell>
          <cell r="GS17">
            <v>3.8789999999999998E-2</v>
          </cell>
          <cell r="GT17">
            <v>2.6040000000000001E-2</v>
          </cell>
          <cell r="GU17">
            <v>2.8250000000000001E-2</v>
          </cell>
          <cell r="GV17">
            <v>1.7520000000000001E-2</v>
          </cell>
          <cell r="GW17">
            <v>3.8789999999999998E-2</v>
          </cell>
          <cell r="GX17">
            <v>2.6040000000000001E-2</v>
          </cell>
          <cell r="GY17">
            <v>2.8250000000000001E-2</v>
          </cell>
          <cell r="GZ17">
            <v>1.7520000000000001E-2</v>
          </cell>
          <cell r="HA17">
            <v>3.9857500000000004E-2</v>
          </cell>
          <cell r="HB17">
            <v>3.1723316326530616E-2</v>
          </cell>
          <cell r="HC17">
            <v>3.7249999999999998E-2</v>
          </cell>
          <cell r="HD17">
            <v>2.8935267857142857E-2</v>
          </cell>
          <cell r="HE17">
            <v>3.9857500000000004E-2</v>
          </cell>
          <cell r="HF17">
            <v>3.1723316326530616E-2</v>
          </cell>
          <cell r="HG17">
            <v>3.7249999999999998E-2</v>
          </cell>
          <cell r="HH17">
            <v>2.8935267857142857E-2</v>
          </cell>
          <cell r="HI17">
            <v>3.7249999999999998E-2</v>
          </cell>
          <cell r="HJ17">
            <v>2.683E-2</v>
          </cell>
          <cell r="HK17">
            <v>2.92E-2</v>
          </cell>
          <cell r="HL17">
            <v>1.8149999999999999E-2</v>
          </cell>
          <cell r="HM17">
            <v>4.088E-2</v>
          </cell>
          <cell r="HN17">
            <v>2.794E-2</v>
          </cell>
          <cell r="HO17">
            <v>3.2199999999999999E-2</v>
          </cell>
          <cell r="HP17">
            <v>2.3199999999999998E-2</v>
          </cell>
          <cell r="HQ17">
            <v>2.5250000000000002E-2</v>
          </cell>
          <cell r="HR17">
            <v>1.5779999999999999E-2</v>
          </cell>
          <cell r="HS17">
            <v>3.2199999999999999E-2</v>
          </cell>
          <cell r="HT17">
            <v>2.3199999999999998E-2</v>
          </cell>
          <cell r="HU17">
            <v>2.5250000000000002E-2</v>
          </cell>
          <cell r="HV17">
            <v>1.5779999999999999E-2</v>
          </cell>
          <cell r="HW17" t="str">
            <v>%PPL</v>
          </cell>
        </row>
        <row r="18">
          <cell r="AC18" t="str">
            <v>MTD-GPP 1.0 CPA</v>
          </cell>
          <cell r="AD18" t="str">
            <v>Handling</v>
          </cell>
          <cell r="AE18">
            <v>0.03</v>
          </cell>
          <cell r="AF18" t="str">
            <v>MTD-GPP 1.0 CPA-Handling</v>
          </cell>
          <cell r="AG18" t="str">
            <v>CPA</v>
          </cell>
          <cell r="AK18" t="str">
            <v>EUROPE-PMA_NBOS</v>
          </cell>
          <cell r="AL18" t="str">
            <v>New EUROPE_NBOS_TS_RFE</v>
          </cell>
          <cell r="AM18" t="str">
            <v>New EUROPE_NBOS_TS_RFE_FY</v>
          </cell>
          <cell r="AN18" t="str">
            <v>New EUROPE_NBOS_TS_RFR</v>
          </cell>
          <cell r="AO18" t="str">
            <v>New EUROPE_NBOS_TS_RFR_FY</v>
          </cell>
          <cell r="AP18" t="str">
            <v>New EUROPE_NBOS_TS_AE</v>
          </cell>
          <cell r="AQ18" t="str">
            <v>New EUROPE_NBOS_TS_AE_FY</v>
          </cell>
          <cell r="AV18" t="str">
            <v>7705 SAR Accessories</v>
          </cell>
          <cell r="AW18">
            <v>0.7</v>
          </cell>
          <cell r="AX18">
            <v>0.62</v>
          </cell>
          <cell r="AY18">
            <v>0.65</v>
          </cell>
          <cell r="AZ18">
            <v>0.6</v>
          </cell>
          <cell r="BA18">
            <v>0.56000000000000005</v>
          </cell>
          <cell r="BB18">
            <v>0.65</v>
          </cell>
          <cell r="BC18">
            <v>0.6</v>
          </cell>
          <cell r="BD18">
            <v>0.56000000000000005</v>
          </cell>
          <cell r="BE18">
            <v>0.65</v>
          </cell>
          <cell r="BF18">
            <v>0.4</v>
          </cell>
          <cell r="BG18">
            <v>0.4</v>
          </cell>
          <cell r="BH18">
            <v>0.65</v>
          </cell>
          <cell r="BI18">
            <v>0.67</v>
          </cell>
          <cell r="BJ18">
            <v>0.6</v>
          </cell>
          <cell r="BK18">
            <v>2.5000000000000001E-2</v>
          </cell>
          <cell r="BL18" t="str">
            <v>%PMP</v>
          </cell>
          <cell r="BM18">
            <v>2.3039775000000002E-2</v>
          </cell>
          <cell r="BN18">
            <v>1.6299999999999999E-2</v>
          </cell>
          <cell r="BO18">
            <v>2.15325E-2</v>
          </cell>
          <cell r="BP18">
            <v>1.2408374999999999E-2</v>
          </cell>
          <cell r="BQ18">
            <v>2.3039775000000002E-2</v>
          </cell>
          <cell r="BR18">
            <v>1.6299999999999999E-2</v>
          </cell>
          <cell r="BS18">
            <v>2.15325E-2</v>
          </cell>
          <cell r="BT18">
            <v>1.2408374999999999E-2</v>
          </cell>
          <cell r="BU18">
            <v>2.15325E-2</v>
          </cell>
          <cell r="BV18">
            <v>1.2408374999999999E-2</v>
          </cell>
          <cell r="BW18">
            <v>1.6965000000000001E-2</v>
          </cell>
          <cell r="BX18">
            <v>7.8299999999999984E-3</v>
          </cell>
          <cell r="BY18">
            <v>2.3685750000000002E-2</v>
          </cell>
          <cell r="BZ18">
            <v>1.4624156249999999E-2</v>
          </cell>
          <cell r="CA18">
            <v>1.7226000000000002E-2</v>
          </cell>
          <cell r="CB18">
            <v>9.9266999999999984E-3</v>
          </cell>
          <cell r="CC18">
            <v>1.3571999999999999E-2</v>
          </cell>
          <cell r="CD18">
            <v>6.2639999999999996E-3</v>
          </cell>
          <cell r="CE18">
            <v>1.7226000000000002E-2</v>
          </cell>
          <cell r="CF18">
            <v>9.9266999999999984E-3</v>
          </cell>
          <cell r="CG18">
            <v>1.3571999999999999E-2</v>
          </cell>
          <cell r="CH18">
            <v>6.2639999999999996E-3</v>
          </cell>
          <cell r="CI18">
            <v>1.586777681426586E-2</v>
          </cell>
          <cell r="CJ18">
            <v>1.1299999999999999E-2</v>
          </cell>
          <cell r="CK18">
            <v>1.4829697957257812E-2</v>
          </cell>
          <cell r="CL18">
            <v>9.7000000000000003E-3</v>
          </cell>
          <cell r="CM18">
            <v>1.586777681426586E-2</v>
          </cell>
          <cell r="CN18">
            <v>1.1299999999999999E-2</v>
          </cell>
          <cell r="CO18">
            <v>1.4829697957257812E-2</v>
          </cell>
          <cell r="CP18">
            <v>9.7000000000000003E-3</v>
          </cell>
          <cell r="CQ18">
            <v>1.4829697957257812E-2</v>
          </cell>
          <cell r="CR18">
            <v>7.9258723541830584E-3</v>
          </cell>
          <cell r="CS18">
            <v>1.3226487367283993E-2</v>
          </cell>
          <cell r="CT18">
            <v>5.8316785210297609E-3</v>
          </cell>
          <cell r="CU18">
            <v>1.6312667752983592E-2</v>
          </cell>
          <cell r="CV18">
            <v>9.3412067031443183E-3</v>
          </cell>
          <cell r="CW18">
            <v>1.1863758365806248E-2</v>
          </cell>
          <cell r="CX18">
            <v>6.3406978833464465E-3</v>
          </cell>
          <cell r="CY18">
            <v>1.0581189893827194E-2</v>
          </cell>
          <cell r="CZ18">
            <v>4.6653428168238085E-3</v>
          </cell>
          <cell r="DA18">
            <v>1.1863758365806248E-2</v>
          </cell>
          <cell r="DB18">
            <v>6.3406978833464465E-3</v>
          </cell>
          <cell r="DC18">
            <v>1.0581189893827194E-2</v>
          </cell>
          <cell r="DD18">
            <v>4.6653428168238085E-3</v>
          </cell>
          <cell r="DE18">
            <v>1.7899999999999999E-2</v>
          </cell>
          <cell r="DF18">
            <v>1.44E-2</v>
          </cell>
          <cell r="DG18">
            <v>1.5900000000000001E-2</v>
          </cell>
          <cell r="DH18">
            <v>1.24E-2</v>
          </cell>
          <cell r="DI18">
            <v>2.3099999999999999E-2</v>
          </cell>
          <cell r="DJ18">
            <v>1.9599999999999999E-2</v>
          </cell>
          <cell r="DK18">
            <v>2.0400000000000001E-2</v>
          </cell>
          <cell r="DL18">
            <v>1.6899999999999998E-2</v>
          </cell>
          <cell r="DM18">
            <v>1.7899999999999999E-2</v>
          </cell>
          <cell r="DN18">
            <v>1.44E-2</v>
          </cell>
          <cell r="DO18">
            <v>1.5900000000000001E-2</v>
          </cell>
          <cell r="DP18">
            <v>1.24E-2</v>
          </cell>
          <cell r="DQ18">
            <v>1.7899999999999999E-2</v>
          </cell>
          <cell r="DR18">
            <v>1.44E-2</v>
          </cell>
          <cell r="DS18">
            <v>1.5900000000000001E-2</v>
          </cell>
          <cell r="DT18">
            <v>1.24E-2</v>
          </cell>
          <cell r="DU18">
            <v>1.95E-2</v>
          </cell>
          <cell r="DV18">
            <v>1.41E-2</v>
          </cell>
          <cell r="DW18">
            <v>1.7299999999999999E-2</v>
          </cell>
          <cell r="DX18">
            <v>9.7000000000000003E-3</v>
          </cell>
          <cell r="DY18">
            <v>2.1399999999999999E-2</v>
          </cell>
          <cell r="DZ18">
            <v>1.35E-2</v>
          </cell>
          <cell r="EA18">
            <v>1.6199999999999999E-2</v>
          </cell>
          <cell r="EB18">
            <v>1.17E-2</v>
          </cell>
          <cell r="EC18">
            <v>1.44E-2</v>
          </cell>
          <cell r="ED18">
            <v>8.0999999999999996E-3</v>
          </cell>
          <cell r="EE18">
            <v>1.6199999999999999E-2</v>
          </cell>
          <cell r="EF18">
            <v>1.17E-2</v>
          </cell>
          <cell r="EG18">
            <v>1.44E-2</v>
          </cell>
          <cell r="EH18">
            <v>8.0999999999999996E-3</v>
          </cell>
          <cell r="EI18">
            <v>2.3099999999999999E-2</v>
          </cell>
          <cell r="EJ18">
            <v>1.9599999999999999E-2</v>
          </cell>
          <cell r="EK18">
            <v>2.0400000000000001E-2</v>
          </cell>
          <cell r="EL18">
            <v>1.6899999999999998E-2</v>
          </cell>
          <cell r="EM18">
            <v>1.7899999999999999E-2</v>
          </cell>
          <cell r="EN18">
            <v>1.44E-2</v>
          </cell>
          <cell r="EO18">
            <v>1.5900000000000001E-2</v>
          </cell>
          <cell r="EP18">
            <v>1.24E-2</v>
          </cell>
          <cell r="EQ18">
            <v>1.7899999999999999E-2</v>
          </cell>
          <cell r="ER18">
            <v>1.44E-2</v>
          </cell>
          <cell r="ES18">
            <v>1.5900000000000001E-2</v>
          </cell>
          <cell r="ET18">
            <v>1.24E-2</v>
          </cell>
          <cell r="EU18">
            <v>1.95E-2</v>
          </cell>
          <cell r="EV18">
            <v>1.41E-2</v>
          </cell>
          <cell r="EW18">
            <v>1.7299999999999999E-2</v>
          </cell>
          <cell r="EX18">
            <v>9.7000000000000003E-3</v>
          </cell>
          <cell r="EY18">
            <v>2.1399999999999999E-2</v>
          </cell>
          <cell r="EZ18">
            <v>1.35E-2</v>
          </cell>
          <cell r="FA18">
            <v>1.6199999999999999E-2</v>
          </cell>
          <cell r="FB18">
            <v>1.17E-2</v>
          </cell>
          <cell r="FC18">
            <v>1.44E-2</v>
          </cell>
          <cell r="FD18">
            <v>8.0999999999999996E-3</v>
          </cell>
          <cell r="FE18">
            <v>1.6199999999999999E-2</v>
          </cell>
          <cell r="FF18">
            <v>1.17E-2</v>
          </cell>
          <cell r="FG18">
            <v>1.44E-2</v>
          </cell>
          <cell r="FH18">
            <v>8.0999999999999996E-3</v>
          </cell>
          <cell r="FI18">
            <v>2.5499999999999998E-2</v>
          </cell>
          <cell r="FJ18">
            <v>2.1999999999999999E-2</v>
          </cell>
          <cell r="FK18">
            <v>2.1499999999999998E-2</v>
          </cell>
          <cell r="FL18">
            <v>1.7999999999999999E-2</v>
          </cell>
          <cell r="FM18">
            <v>2.5499999999999998E-2</v>
          </cell>
          <cell r="FN18">
            <v>2.1999999999999999E-2</v>
          </cell>
          <cell r="FO18">
            <v>2.1499999999999998E-2</v>
          </cell>
          <cell r="FP18">
            <v>1.7999999999999999E-2</v>
          </cell>
          <cell r="FQ18">
            <v>2.46E-2</v>
          </cell>
          <cell r="FR18">
            <v>1.9099999999999999E-2</v>
          </cell>
          <cell r="FS18">
            <v>1.9400000000000001E-2</v>
          </cell>
          <cell r="FT18">
            <v>1.2999999999999999E-2</v>
          </cell>
          <cell r="FU18">
            <v>2.7099999999999999E-2</v>
          </cell>
          <cell r="FV18">
            <v>1.9900000000000001E-2</v>
          </cell>
          <cell r="FW18">
            <v>2.1299999999999999E-2</v>
          </cell>
          <cell r="FX18">
            <v>1.66E-2</v>
          </cell>
          <cell r="FY18">
            <v>1.6799999999999999E-2</v>
          </cell>
          <cell r="FZ18">
            <v>1.1299999999999999E-2</v>
          </cell>
          <cell r="GA18">
            <v>2.1299999999999999E-2</v>
          </cell>
          <cell r="GB18">
            <v>1.66E-2</v>
          </cell>
          <cell r="GC18">
            <v>1.6799999999999999E-2</v>
          </cell>
          <cell r="GD18">
            <v>1.1299999999999999E-2</v>
          </cell>
          <cell r="GE18">
            <v>2.3219000000000004E-2</v>
          </cell>
          <cell r="GF18">
            <v>1.8480428571428575E-2</v>
          </cell>
          <cell r="GG18">
            <v>2.1700000000000001E-2</v>
          </cell>
          <cell r="GH18">
            <v>1.685625E-2</v>
          </cell>
          <cell r="GI18">
            <v>2.3219000000000004E-2</v>
          </cell>
          <cell r="GJ18">
            <v>1.8480428571428575E-2</v>
          </cell>
          <cell r="GK18">
            <v>2.1700000000000001E-2</v>
          </cell>
          <cell r="GL18">
            <v>1.685625E-2</v>
          </cell>
          <cell r="GM18">
            <v>2.1700000000000001E-2</v>
          </cell>
          <cell r="GN18">
            <v>1.49E-2</v>
          </cell>
          <cell r="GO18">
            <v>1.7100000000000001E-2</v>
          </cell>
          <cell r="GP18">
            <v>0.01</v>
          </cell>
          <cell r="GQ18">
            <v>2.3900000000000001E-2</v>
          </cell>
          <cell r="GR18">
            <v>1.55E-2</v>
          </cell>
          <cell r="GS18">
            <v>1.8800000000000001E-2</v>
          </cell>
          <cell r="GT18">
            <v>1.29E-2</v>
          </cell>
          <cell r="GU18">
            <v>1.4800000000000001E-2</v>
          </cell>
          <cell r="GV18">
            <v>8.6999999999999994E-3</v>
          </cell>
          <cell r="GW18">
            <v>1.8800000000000001E-2</v>
          </cell>
          <cell r="GX18">
            <v>1.29E-2</v>
          </cell>
          <cell r="GY18">
            <v>1.4800000000000001E-2</v>
          </cell>
          <cell r="GZ18">
            <v>8.6999999999999994E-3</v>
          </cell>
          <cell r="HA18">
            <v>2.0544E-2</v>
          </cell>
          <cell r="HB18">
            <v>1.6351346938775511E-2</v>
          </cell>
          <cell r="HC18">
            <v>1.9199999999999998E-2</v>
          </cell>
          <cell r="HD18">
            <v>1.4914285714285712E-2</v>
          </cell>
          <cell r="HE18">
            <v>2.0544E-2</v>
          </cell>
          <cell r="HF18">
            <v>1.6351346938775511E-2</v>
          </cell>
          <cell r="HG18">
            <v>1.9199999999999998E-2</v>
          </cell>
          <cell r="HH18">
            <v>1.4914285714285712E-2</v>
          </cell>
          <cell r="HI18">
            <v>1.9199999999999998E-2</v>
          </cell>
          <cell r="HJ18">
            <v>1.3100000000000001E-2</v>
          </cell>
          <cell r="HK18">
            <v>1.5100000000000001E-2</v>
          </cell>
          <cell r="HL18">
            <v>8.8999999999999999E-3</v>
          </cell>
          <cell r="HM18">
            <v>2.1100000000000001E-2</v>
          </cell>
          <cell r="HN18">
            <v>1.37E-2</v>
          </cell>
          <cell r="HO18">
            <v>1.6799999999999999E-2</v>
          </cell>
          <cell r="HP18">
            <v>1.14E-2</v>
          </cell>
          <cell r="HQ18">
            <v>1.3100000000000001E-2</v>
          </cell>
          <cell r="HR18">
            <v>7.7000000000000002E-3</v>
          </cell>
          <cell r="HS18">
            <v>1.6799999999999999E-2</v>
          </cell>
          <cell r="HT18">
            <v>1.14E-2</v>
          </cell>
          <cell r="HU18">
            <v>1.3100000000000001E-2</v>
          </cell>
          <cell r="HV18">
            <v>7.7000000000000002E-3</v>
          </cell>
          <cell r="HW18" t="str">
            <v>%PPL</v>
          </cell>
        </row>
        <row r="19">
          <cell r="AC19" t="str">
            <v>MTD-GPP 1.0 CPA</v>
          </cell>
          <cell r="AD19" t="str">
            <v>Basic</v>
          </cell>
          <cell r="AE19">
            <v>0.15</v>
          </cell>
          <cell r="AF19" t="str">
            <v>MTD-GPP 1.0 CPA-Basic</v>
          </cell>
          <cell r="AG19" t="str">
            <v>CPA</v>
          </cell>
          <cell r="AK19" t="str">
            <v>MEA-PMA_NBOS</v>
          </cell>
          <cell r="AL19" t="str">
            <v>New MEA_NBOS_TS_RFE</v>
          </cell>
          <cell r="AM19" t="str">
            <v>New MEA_NBOS_TS_RFE_FY</v>
          </cell>
          <cell r="AN19" t="str">
            <v>New MEA_NBOS_TS_RFR</v>
          </cell>
          <cell r="AO19" t="str">
            <v>New MEA_NBOS_TS_RFR_FY</v>
          </cell>
          <cell r="AP19" t="str">
            <v>New MEA_NBOS_TS_AE</v>
          </cell>
          <cell r="AQ19" t="str">
            <v>New MEA_NBOS_TS_AE_FY</v>
          </cell>
          <cell r="AV19" t="str">
            <v>7705 SAR Common SW</v>
          </cell>
          <cell r="AW19">
            <v>0.7</v>
          </cell>
          <cell r="AX19">
            <v>0.62</v>
          </cell>
          <cell r="AY19">
            <v>0.65</v>
          </cell>
          <cell r="AZ19">
            <v>0.65</v>
          </cell>
          <cell r="BA19">
            <v>0.56000000000000005</v>
          </cell>
          <cell r="BB19">
            <v>0.65</v>
          </cell>
          <cell r="BC19">
            <v>0.65</v>
          </cell>
          <cell r="BD19">
            <v>0.56000000000000005</v>
          </cell>
          <cell r="BE19">
            <v>0.65</v>
          </cell>
          <cell r="BF19">
            <v>0.4</v>
          </cell>
          <cell r="BG19">
            <v>0.4</v>
          </cell>
          <cell r="BH19">
            <v>0.65</v>
          </cell>
          <cell r="BI19">
            <v>0.67</v>
          </cell>
          <cell r="BJ19">
            <v>0.6</v>
          </cell>
          <cell r="BK19">
            <v>2.5000000000000001E-2</v>
          </cell>
          <cell r="BL19" t="str">
            <v>%PMP</v>
          </cell>
          <cell r="BM19">
            <v>2.3039775000000002E-2</v>
          </cell>
          <cell r="BN19">
            <v>1.6299999999999999E-2</v>
          </cell>
          <cell r="BO19">
            <v>2.15325E-2</v>
          </cell>
          <cell r="BP19">
            <v>1.2408374999999999E-2</v>
          </cell>
          <cell r="BQ19">
            <v>2.3039775000000002E-2</v>
          </cell>
          <cell r="BR19">
            <v>1.6299999999999999E-2</v>
          </cell>
          <cell r="BS19">
            <v>2.15325E-2</v>
          </cell>
          <cell r="BT19">
            <v>1.2408374999999999E-2</v>
          </cell>
          <cell r="BU19">
            <v>2.15325E-2</v>
          </cell>
          <cell r="BV19">
            <v>1.2408374999999999E-2</v>
          </cell>
          <cell r="BW19">
            <v>1.6965000000000001E-2</v>
          </cell>
          <cell r="BX19">
            <v>7.8299999999999984E-3</v>
          </cell>
          <cell r="BY19">
            <v>2.3685750000000002E-2</v>
          </cell>
          <cell r="BZ19">
            <v>1.4624156249999999E-2</v>
          </cell>
          <cell r="CA19">
            <v>1.7226000000000002E-2</v>
          </cell>
          <cell r="CB19">
            <v>9.9266999999999984E-3</v>
          </cell>
          <cell r="CC19">
            <v>1.3571999999999999E-2</v>
          </cell>
          <cell r="CD19">
            <v>6.2639999999999996E-3</v>
          </cell>
          <cell r="CE19">
            <v>1.7226000000000002E-2</v>
          </cell>
          <cell r="CF19">
            <v>9.9266999999999984E-3</v>
          </cell>
          <cell r="CG19">
            <v>1.3571999999999999E-2</v>
          </cell>
          <cell r="CH19">
            <v>6.2639999999999996E-3</v>
          </cell>
          <cell r="CI19">
            <v>1.586777681426586E-2</v>
          </cell>
          <cell r="CJ19">
            <v>1.1299999999999999E-2</v>
          </cell>
          <cell r="CK19">
            <v>1.4829697957257812E-2</v>
          </cell>
          <cell r="CL19">
            <v>9.7000000000000003E-3</v>
          </cell>
          <cell r="CM19">
            <v>1.586777681426586E-2</v>
          </cell>
          <cell r="CN19">
            <v>1.1299999999999999E-2</v>
          </cell>
          <cell r="CO19">
            <v>1.4829697957257812E-2</v>
          </cell>
          <cell r="CP19">
            <v>9.7000000000000003E-3</v>
          </cell>
          <cell r="CQ19">
            <v>1.4829697957257812E-2</v>
          </cell>
          <cell r="CR19">
            <v>7.9258723541830584E-3</v>
          </cell>
          <cell r="CS19">
            <v>1.3226487367283993E-2</v>
          </cell>
          <cell r="CT19">
            <v>5.8316785210297609E-3</v>
          </cell>
          <cell r="CU19">
            <v>1.6312667752983592E-2</v>
          </cell>
          <cell r="CV19">
            <v>9.3412067031443183E-3</v>
          </cell>
          <cell r="CW19">
            <v>1.1863758365806248E-2</v>
          </cell>
          <cell r="CX19">
            <v>6.3406978833464465E-3</v>
          </cell>
          <cell r="CY19">
            <v>1.0581189893827194E-2</v>
          </cell>
          <cell r="CZ19">
            <v>4.6653428168238085E-3</v>
          </cell>
          <cell r="DA19">
            <v>1.1863758365806248E-2</v>
          </cell>
          <cell r="DB19">
            <v>6.3406978833464465E-3</v>
          </cell>
          <cell r="DC19">
            <v>1.0581189893827194E-2</v>
          </cell>
          <cell r="DD19">
            <v>4.6653428168238085E-3</v>
          </cell>
          <cell r="DE19">
            <v>1.7899999999999999E-2</v>
          </cell>
          <cell r="DF19">
            <v>1.44E-2</v>
          </cell>
          <cell r="DG19">
            <v>1.5900000000000001E-2</v>
          </cell>
          <cell r="DH19">
            <v>1.24E-2</v>
          </cell>
          <cell r="DI19">
            <v>2.3099999999999999E-2</v>
          </cell>
          <cell r="DJ19">
            <v>1.9599999999999999E-2</v>
          </cell>
          <cell r="DK19">
            <v>2.0400000000000001E-2</v>
          </cell>
          <cell r="DL19">
            <v>1.6899999999999998E-2</v>
          </cell>
          <cell r="DM19">
            <v>1.7899999999999999E-2</v>
          </cell>
          <cell r="DN19">
            <v>1.44E-2</v>
          </cell>
          <cell r="DO19">
            <v>1.5900000000000001E-2</v>
          </cell>
          <cell r="DP19">
            <v>1.24E-2</v>
          </cell>
          <cell r="DQ19">
            <v>1.7899999999999999E-2</v>
          </cell>
          <cell r="DR19">
            <v>1.44E-2</v>
          </cell>
          <cell r="DS19">
            <v>1.5900000000000001E-2</v>
          </cell>
          <cell r="DT19">
            <v>1.24E-2</v>
          </cell>
          <cell r="DU19">
            <v>1.95E-2</v>
          </cell>
          <cell r="DV19">
            <v>1.41E-2</v>
          </cell>
          <cell r="DW19">
            <v>1.7299999999999999E-2</v>
          </cell>
          <cell r="DX19">
            <v>9.7000000000000003E-3</v>
          </cell>
          <cell r="DY19">
            <v>2.1399999999999999E-2</v>
          </cell>
          <cell r="DZ19">
            <v>1.35E-2</v>
          </cell>
          <cell r="EA19">
            <v>1.6199999999999999E-2</v>
          </cell>
          <cell r="EB19">
            <v>1.17E-2</v>
          </cell>
          <cell r="EC19">
            <v>1.44E-2</v>
          </cell>
          <cell r="ED19">
            <v>8.0999999999999996E-3</v>
          </cell>
          <cell r="EE19">
            <v>1.6199999999999999E-2</v>
          </cell>
          <cell r="EF19">
            <v>1.17E-2</v>
          </cell>
          <cell r="EG19">
            <v>1.44E-2</v>
          </cell>
          <cell r="EH19">
            <v>8.0999999999999996E-3</v>
          </cell>
          <cell r="EI19">
            <v>2.3099999999999999E-2</v>
          </cell>
          <cell r="EJ19">
            <v>1.9599999999999999E-2</v>
          </cell>
          <cell r="EK19">
            <v>2.0400000000000001E-2</v>
          </cell>
          <cell r="EL19">
            <v>1.6899999999999998E-2</v>
          </cell>
          <cell r="EM19">
            <v>1.7899999999999999E-2</v>
          </cell>
          <cell r="EN19">
            <v>1.44E-2</v>
          </cell>
          <cell r="EO19">
            <v>1.5900000000000001E-2</v>
          </cell>
          <cell r="EP19">
            <v>1.24E-2</v>
          </cell>
          <cell r="EQ19">
            <v>1.7899999999999999E-2</v>
          </cell>
          <cell r="ER19">
            <v>1.44E-2</v>
          </cell>
          <cell r="ES19">
            <v>1.5900000000000001E-2</v>
          </cell>
          <cell r="ET19">
            <v>1.24E-2</v>
          </cell>
          <cell r="EU19">
            <v>1.95E-2</v>
          </cell>
          <cell r="EV19">
            <v>1.41E-2</v>
          </cell>
          <cell r="EW19">
            <v>1.7299999999999999E-2</v>
          </cell>
          <cell r="EX19">
            <v>9.7000000000000003E-3</v>
          </cell>
          <cell r="EY19">
            <v>2.1399999999999999E-2</v>
          </cell>
          <cell r="EZ19">
            <v>1.35E-2</v>
          </cell>
          <cell r="FA19">
            <v>1.6199999999999999E-2</v>
          </cell>
          <cell r="FB19">
            <v>1.17E-2</v>
          </cell>
          <cell r="FC19">
            <v>1.44E-2</v>
          </cell>
          <cell r="FD19">
            <v>8.0999999999999996E-3</v>
          </cell>
          <cell r="FE19">
            <v>1.6199999999999999E-2</v>
          </cell>
          <cell r="FF19">
            <v>1.17E-2</v>
          </cell>
          <cell r="FG19">
            <v>1.44E-2</v>
          </cell>
          <cell r="FH19">
            <v>8.0999999999999996E-3</v>
          </cell>
          <cell r="FI19">
            <v>2.5499999999999998E-2</v>
          </cell>
          <cell r="FJ19">
            <v>2.1999999999999999E-2</v>
          </cell>
          <cell r="FK19">
            <v>2.1499999999999998E-2</v>
          </cell>
          <cell r="FL19">
            <v>1.7999999999999999E-2</v>
          </cell>
          <cell r="FM19">
            <v>2.5499999999999998E-2</v>
          </cell>
          <cell r="FN19">
            <v>2.1999999999999999E-2</v>
          </cell>
          <cell r="FO19">
            <v>2.1499999999999998E-2</v>
          </cell>
          <cell r="FP19">
            <v>1.7999999999999999E-2</v>
          </cell>
          <cell r="FQ19">
            <v>2.46E-2</v>
          </cell>
          <cell r="FR19">
            <v>1.9099999999999999E-2</v>
          </cell>
          <cell r="FS19">
            <v>1.9400000000000001E-2</v>
          </cell>
          <cell r="FT19">
            <v>1.2999999999999999E-2</v>
          </cell>
          <cell r="FU19">
            <v>2.7099999999999999E-2</v>
          </cell>
          <cell r="FV19">
            <v>1.9900000000000001E-2</v>
          </cell>
          <cell r="FW19">
            <v>2.1299999999999999E-2</v>
          </cell>
          <cell r="FX19">
            <v>1.66E-2</v>
          </cell>
          <cell r="FY19">
            <v>1.6799999999999999E-2</v>
          </cell>
          <cell r="FZ19">
            <v>1.1299999999999999E-2</v>
          </cell>
          <cell r="GA19">
            <v>2.1299999999999999E-2</v>
          </cell>
          <cell r="GB19">
            <v>1.66E-2</v>
          </cell>
          <cell r="GC19">
            <v>1.6799999999999999E-2</v>
          </cell>
          <cell r="GD19">
            <v>1.1299999999999999E-2</v>
          </cell>
          <cell r="GE19">
            <v>2.3219000000000004E-2</v>
          </cell>
          <cell r="GF19">
            <v>1.8480428571428575E-2</v>
          </cell>
          <cell r="GG19">
            <v>2.1700000000000001E-2</v>
          </cell>
          <cell r="GH19">
            <v>1.685625E-2</v>
          </cell>
          <cell r="GI19">
            <v>2.3219000000000004E-2</v>
          </cell>
          <cell r="GJ19">
            <v>1.8480428571428575E-2</v>
          </cell>
          <cell r="GK19">
            <v>2.1700000000000001E-2</v>
          </cell>
          <cell r="GL19">
            <v>1.685625E-2</v>
          </cell>
          <cell r="GM19">
            <v>2.1700000000000001E-2</v>
          </cell>
          <cell r="GN19">
            <v>1.49E-2</v>
          </cell>
          <cell r="GO19">
            <v>1.7100000000000001E-2</v>
          </cell>
          <cell r="GP19">
            <v>0.01</v>
          </cell>
          <cell r="GQ19">
            <v>2.3900000000000001E-2</v>
          </cell>
          <cell r="GR19">
            <v>1.55E-2</v>
          </cell>
          <cell r="GS19">
            <v>1.8800000000000001E-2</v>
          </cell>
          <cell r="GT19">
            <v>1.29E-2</v>
          </cell>
          <cell r="GU19">
            <v>1.4800000000000001E-2</v>
          </cell>
          <cell r="GV19">
            <v>8.6999999999999994E-3</v>
          </cell>
          <cell r="GW19">
            <v>1.8800000000000001E-2</v>
          </cell>
          <cell r="GX19">
            <v>1.29E-2</v>
          </cell>
          <cell r="GY19">
            <v>1.4800000000000001E-2</v>
          </cell>
          <cell r="GZ19">
            <v>8.6999999999999994E-3</v>
          </cell>
          <cell r="HA19">
            <v>2.0544E-2</v>
          </cell>
          <cell r="HB19">
            <v>1.6351346938775511E-2</v>
          </cell>
          <cell r="HC19">
            <v>1.9199999999999998E-2</v>
          </cell>
          <cell r="HD19">
            <v>1.4914285714285712E-2</v>
          </cell>
          <cell r="HE19">
            <v>2.0544E-2</v>
          </cell>
          <cell r="HF19">
            <v>1.6351346938775511E-2</v>
          </cell>
          <cell r="HG19">
            <v>1.9199999999999998E-2</v>
          </cell>
          <cell r="HH19">
            <v>1.4914285714285712E-2</v>
          </cell>
          <cell r="HI19">
            <v>1.9199999999999998E-2</v>
          </cell>
          <cell r="HJ19">
            <v>1.3100000000000001E-2</v>
          </cell>
          <cell r="HK19">
            <v>1.5100000000000001E-2</v>
          </cell>
          <cell r="HL19">
            <v>8.8999999999999999E-3</v>
          </cell>
          <cell r="HM19">
            <v>2.1100000000000001E-2</v>
          </cell>
          <cell r="HN19">
            <v>1.37E-2</v>
          </cell>
          <cell r="HO19">
            <v>1.6799999999999999E-2</v>
          </cell>
          <cell r="HP19">
            <v>1.14E-2</v>
          </cell>
          <cell r="HQ19">
            <v>1.3100000000000001E-2</v>
          </cell>
          <cell r="HR19">
            <v>7.7000000000000002E-3</v>
          </cell>
          <cell r="HS19">
            <v>1.6799999999999999E-2</v>
          </cell>
          <cell r="HT19">
            <v>1.14E-2</v>
          </cell>
          <cell r="HU19">
            <v>1.3100000000000001E-2</v>
          </cell>
          <cell r="HV19">
            <v>7.7000000000000002E-3</v>
          </cell>
          <cell r="HW19" t="str">
            <v>%PPL</v>
          </cell>
        </row>
        <row r="20">
          <cell r="AC20" t="str">
            <v>MTD-ALE GPP 1.0 CPA</v>
          </cell>
          <cell r="AD20" t="str">
            <v>ALE</v>
          </cell>
          <cell r="AE20">
            <v>0.15</v>
          </cell>
          <cell r="AF20" t="str">
            <v>MTD-ALE GPP 1.0 CPA-ALE</v>
          </cell>
          <cell r="AG20" t="str">
            <v>ALE</v>
          </cell>
          <cell r="AK20" t="str">
            <v>APJ-A-PMA_NBOS</v>
          </cell>
          <cell r="AL20" t="str">
            <v>New APJ-A_NBOS_TS_RFE</v>
          </cell>
          <cell r="AM20" t="str">
            <v>New APJ-A_NBOS_TS_RFE_FY</v>
          </cell>
          <cell r="AN20" t="str">
            <v>New APJ-A_NBOS_TS_RFR</v>
          </cell>
          <cell r="AO20" t="str">
            <v>New APJ-A_NBOS_TS_RFR_FY</v>
          </cell>
          <cell r="AP20" t="str">
            <v>New APJ-A_NBOS_TS_AE</v>
          </cell>
          <cell r="AQ20" t="str">
            <v>New APJ-A_NBOS_TS_AE_FY</v>
          </cell>
          <cell r="AV20" t="str">
            <v>7705 SAR-8/18</v>
          </cell>
          <cell r="AW20">
            <v>0.7</v>
          </cell>
          <cell r="AX20">
            <v>0.62</v>
          </cell>
          <cell r="AY20">
            <v>0.65</v>
          </cell>
          <cell r="AZ20">
            <v>0.62</v>
          </cell>
          <cell r="BA20">
            <v>0.56399999999999995</v>
          </cell>
          <cell r="BB20">
            <v>0.65</v>
          </cell>
          <cell r="BC20">
            <v>0.62</v>
          </cell>
          <cell r="BD20">
            <v>0.56399999999999995</v>
          </cell>
          <cell r="BE20">
            <v>0.65</v>
          </cell>
          <cell r="BF20">
            <v>0.67</v>
          </cell>
          <cell r="BG20">
            <v>0.65</v>
          </cell>
          <cell r="BH20">
            <v>0.65</v>
          </cell>
          <cell r="BI20">
            <v>0.67</v>
          </cell>
          <cell r="BJ20">
            <v>0.6</v>
          </cell>
          <cell r="BK20">
            <v>2.5000000000000001E-2</v>
          </cell>
          <cell r="BL20" t="str">
            <v>%PMP</v>
          </cell>
          <cell r="BM20">
            <v>2.3039775000000002E-2</v>
          </cell>
          <cell r="BN20">
            <v>1.6299999999999999E-2</v>
          </cell>
          <cell r="BO20">
            <v>2.15325E-2</v>
          </cell>
          <cell r="BP20">
            <v>1.2408374999999999E-2</v>
          </cell>
          <cell r="BQ20">
            <v>2.3039775000000002E-2</v>
          </cell>
          <cell r="BR20">
            <v>1.6299999999999999E-2</v>
          </cell>
          <cell r="BS20">
            <v>2.15325E-2</v>
          </cell>
          <cell r="BT20">
            <v>1.2408374999999999E-2</v>
          </cell>
          <cell r="BU20">
            <v>2.15325E-2</v>
          </cell>
          <cell r="BV20">
            <v>1.2408374999999999E-2</v>
          </cell>
          <cell r="BW20">
            <v>1.6965000000000001E-2</v>
          </cell>
          <cell r="BX20">
            <v>7.8299999999999984E-3</v>
          </cell>
          <cell r="BY20">
            <v>2.3685750000000002E-2</v>
          </cell>
          <cell r="BZ20">
            <v>1.4624156249999999E-2</v>
          </cell>
          <cell r="CA20">
            <v>1.7226000000000002E-2</v>
          </cell>
          <cell r="CB20">
            <v>9.9266999999999984E-3</v>
          </cell>
          <cell r="CC20">
            <v>1.3571999999999999E-2</v>
          </cell>
          <cell r="CD20">
            <v>6.2639999999999996E-3</v>
          </cell>
          <cell r="CE20">
            <v>1.7226000000000002E-2</v>
          </cell>
          <cell r="CF20">
            <v>9.9266999999999984E-3</v>
          </cell>
          <cell r="CG20">
            <v>1.3571999999999999E-2</v>
          </cell>
          <cell r="CH20">
            <v>6.2639999999999996E-3</v>
          </cell>
          <cell r="CI20">
            <v>1.586777681426586E-2</v>
          </cell>
          <cell r="CJ20">
            <v>1.1299999999999999E-2</v>
          </cell>
          <cell r="CK20">
            <v>1.4829697957257812E-2</v>
          </cell>
          <cell r="CL20">
            <v>9.7000000000000003E-3</v>
          </cell>
          <cell r="CM20">
            <v>1.586777681426586E-2</v>
          </cell>
          <cell r="CN20">
            <v>1.1299999999999999E-2</v>
          </cell>
          <cell r="CO20">
            <v>1.4829697957257812E-2</v>
          </cell>
          <cell r="CP20">
            <v>9.7000000000000003E-3</v>
          </cell>
          <cell r="CQ20">
            <v>1.4829697957257812E-2</v>
          </cell>
          <cell r="CR20">
            <v>7.9258723541830584E-3</v>
          </cell>
          <cell r="CS20">
            <v>1.3226487367283993E-2</v>
          </cell>
          <cell r="CT20">
            <v>5.8316785210297609E-3</v>
          </cell>
          <cell r="CU20">
            <v>1.6312667752983592E-2</v>
          </cell>
          <cell r="CV20">
            <v>9.3412067031443183E-3</v>
          </cell>
          <cell r="CW20">
            <v>1.1863758365806248E-2</v>
          </cell>
          <cell r="CX20">
            <v>6.3406978833464465E-3</v>
          </cell>
          <cell r="CY20">
            <v>1.0581189893827194E-2</v>
          </cell>
          <cell r="CZ20">
            <v>4.6653428168238085E-3</v>
          </cell>
          <cell r="DA20">
            <v>1.1863758365806248E-2</v>
          </cell>
          <cell r="DB20">
            <v>6.3406978833464465E-3</v>
          </cell>
          <cell r="DC20">
            <v>1.0581189893827194E-2</v>
          </cell>
          <cell r="DD20">
            <v>4.6653428168238085E-3</v>
          </cell>
          <cell r="DE20">
            <v>1.7899999999999999E-2</v>
          </cell>
          <cell r="DF20">
            <v>1.44E-2</v>
          </cell>
          <cell r="DG20">
            <v>1.5900000000000001E-2</v>
          </cell>
          <cell r="DH20">
            <v>1.24E-2</v>
          </cell>
          <cell r="DI20">
            <v>2.3099999999999999E-2</v>
          </cell>
          <cell r="DJ20">
            <v>1.9599999999999999E-2</v>
          </cell>
          <cell r="DK20">
            <v>2.0400000000000001E-2</v>
          </cell>
          <cell r="DL20">
            <v>1.6899999999999998E-2</v>
          </cell>
          <cell r="DM20">
            <v>1.7899999999999999E-2</v>
          </cell>
          <cell r="DN20">
            <v>1.44E-2</v>
          </cell>
          <cell r="DO20">
            <v>1.5900000000000001E-2</v>
          </cell>
          <cell r="DP20">
            <v>1.24E-2</v>
          </cell>
          <cell r="DQ20">
            <v>1.7899999999999999E-2</v>
          </cell>
          <cell r="DR20">
            <v>1.44E-2</v>
          </cell>
          <cell r="DS20">
            <v>1.5900000000000001E-2</v>
          </cell>
          <cell r="DT20">
            <v>1.24E-2</v>
          </cell>
          <cell r="DU20">
            <v>1.95E-2</v>
          </cell>
          <cell r="DV20">
            <v>1.41E-2</v>
          </cell>
          <cell r="DW20">
            <v>1.7299999999999999E-2</v>
          </cell>
          <cell r="DX20">
            <v>9.7000000000000003E-3</v>
          </cell>
          <cell r="DY20">
            <v>2.1399999999999999E-2</v>
          </cell>
          <cell r="DZ20">
            <v>1.35E-2</v>
          </cell>
          <cell r="EA20">
            <v>1.6199999999999999E-2</v>
          </cell>
          <cell r="EB20">
            <v>1.17E-2</v>
          </cell>
          <cell r="EC20">
            <v>1.44E-2</v>
          </cell>
          <cell r="ED20">
            <v>8.0999999999999996E-3</v>
          </cell>
          <cell r="EE20">
            <v>1.6199999999999999E-2</v>
          </cell>
          <cell r="EF20">
            <v>1.17E-2</v>
          </cell>
          <cell r="EG20">
            <v>1.44E-2</v>
          </cell>
          <cell r="EH20">
            <v>8.0999999999999996E-3</v>
          </cell>
          <cell r="EI20">
            <v>2.3099999999999999E-2</v>
          </cell>
          <cell r="EJ20">
            <v>1.9599999999999999E-2</v>
          </cell>
          <cell r="EK20">
            <v>2.0400000000000001E-2</v>
          </cell>
          <cell r="EL20">
            <v>1.6899999999999998E-2</v>
          </cell>
          <cell r="EM20">
            <v>1.7899999999999999E-2</v>
          </cell>
          <cell r="EN20">
            <v>1.44E-2</v>
          </cell>
          <cell r="EO20">
            <v>1.5900000000000001E-2</v>
          </cell>
          <cell r="EP20">
            <v>1.24E-2</v>
          </cell>
          <cell r="EQ20">
            <v>1.7899999999999999E-2</v>
          </cell>
          <cell r="ER20">
            <v>1.44E-2</v>
          </cell>
          <cell r="ES20">
            <v>1.5900000000000001E-2</v>
          </cell>
          <cell r="ET20">
            <v>1.24E-2</v>
          </cell>
          <cell r="EU20">
            <v>1.95E-2</v>
          </cell>
          <cell r="EV20">
            <v>1.41E-2</v>
          </cell>
          <cell r="EW20">
            <v>1.7299999999999999E-2</v>
          </cell>
          <cell r="EX20">
            <v>9.7000000000000003E-3</v>
          </cell>
          <cell r="EY20">
            <v>2.1399999999999999E-2</v>
          </cell>
          <cell r="EZ20">
            <v>1.35E-2</v>
          </cell>
          <cell r="FA20">
            <v>1.6199999999999999E-2</v>
          </cell>
          <cell r="FB20">
            <v>1.17E-2</v>
          </cell>
          <cell r="FC20">
            <v>1.44E-2</v>
          </cell>
          <cell r="FD20">
            <v>8.0999999999999996E-3</v>
          </cell>
          <cell r="FE20">
            <v>1.6199999999999999E-2</v>
          </cell>
          <cell r="FF20">
            <v>1.17E-2</v>
          </cell>
          <cell r="FG20">
            <v>1.44E-2</v>
          </cell>
          <cell r="FH20">
            <v>8.0999999999999996E-3</v>
          </cell>
          <cell r="FI20">
            <v>2.5499999999999998E-2</v>
          </cell>
          <cell r="FJ20">
            <v>2.1999999999999999E-2</v>
          </cell>
          <cell r="FK20">
            <v>2.1499999999999998E-2</v>
          </cell>
          <cell r="FL20">
            <v>1.7999999999999999E-2</v>
          </cell>
          <cell r="FM20">
            <v>2.5499999999999998E-2</v>
          </cell>
          <cell r="FN20">
            <v>2.1999999999999999E-2</v>
          </cell>
          <cell r="FO20">
            <v>2.1499999999999998E-2</v>
          </cell>
          <cell r="FP20">
            <v>1.7999999999999999E-2</v>
          </cell>
          <cell r="FQ20">
            <v>2.46E-2</v>
          </cell>
          <cell r="FR20">
            <v>1.9099999999999999E-2</v>
          </cell>
          <cell r="FS20">
            <v>1.9400000000000001E-2</v>
          </cell>
          <cell r="FT20">
            <v>1.2999999999999999E-2</v>
          </cell>
          <cell r="FU20">
            <v>2.7099999999999999E-2</v>
          </cell>
          <cell r="FV20">
            <v>1.9900000000000001E-2</v>
          </cell>
          <cell r="FW20">
            <v>2.1299999999999999E-2</v>
          </cell>
          <cell r="FX20">
            <v>1.66E-2</v>
          </cell>
          <cell r="FY20">
            <v>1.6799999999999999E-2</v>
          </cell>
          <cell r="FZ20">
            <v>1.1299999999999999E-2</v>
          </cell>
          <cell r="GA20">
            <v>2.1299999999999999E-2</v>
          </cell>
          <cell r="GB20">
            <v>1.66E-2</v>
          </cell>
          <cell r="GC20">
            <v>1.6799999999999999E-2</v>
          </cell>
          <cell r="GD20">
            <v>1.1299999999999999E-2</v>
          </cell>
          <cell r="GE20">
            <v>2.3219000000000004E-2</v>
          </cell>
          <cell r="GF20">
            <v>1.8480428571428575E-2</v>
          </cell>
          <cell r="GG20">
            <v>2.1700000000000001E-2</v>
          </cell>
          <cell r="GH20">
            <v>1.685625E-2</v>
          </cell>
          <cell r="GI20">
            <v>2.3219000000000004E-2</v>
          </cell>
          <cell r="GJ20">
            <v>1.8480428571428575E-2</v>
          </cell>
          <cell r="GK20">
            <v>2.1700000000000001E-2</v>
          </cell>
          <cell r="GL20">
            <v>1.685625E-2</v>
          </cell>
          <cell r="GM20">
            <v>2.1700000000000001E-2</v>
          </cell>
          <cell r="GN20">
            <v>1.49E-2</v>
          </cell>
          <cell r="GO20">
            <v>1.7100000000000001E-2</v>
          </cell>
          <cell r="GP20">
            <v>0.01</v>
          </cell>
          <cell r="GQ20">
            <v>2.3900000000000001E-2</v>
          </cell>
          <cell r="GR20">
            <v>1.55E-2</v>
          </cell>
          <cell r="GS20">
            <v>1.8800000000000001E-2</v>
          </cell>
          <cell r="GT20">
            <v>1.29E-2</v>
          </cell>
          <cell r="GU20">
            <v>1.4800000000000001E-2</v>
          </cell>
          <cell r="GV20">
            <v>8.6999999999999994E-3</v>
          </cell>
          <cell r="GW20">
            <v>1.8800000000000001E-2</v>
          </cell>
          <cell r="GX20">
            <v>1.29E-2</v>
          </cell>
          <cell r="GY20">
            <v>1.4800000000000001E-2</v>
          </cell>
          <cell r="GZ20">
            <v>8.6999999999999994E-3</v>
          </cell>
          <cell r="HA20">
            <v>2.0544E-2</v>
          </cell>
          <cell r="HB20">
            <v>1.6351346938775511E-2</v>
          </cell>
          <cell r="HC20">
            <v>1.9199999999999998E-2</v>
          </cell>
          <cell r="HD20">
            <v>1.4914285714285712E-2</v>
          </cell>
          <cell r="HE20">
            <v>2.0544E-2</v>
          </cell>
          <cell r="HF20">
            <v>1.6351346938775511E-2</v>
          </cell>
          <cell r="HG20">
            <v>1.9199999999999998E-2</v>
          </cell>
          <cell r="HH20">
            <v>1.4914285714285712E-2</v>
          </cell>
          <cell r="HI20">
            <v>1.9199999999999998E-2</v>
          </cell>
          <cell r="HJ20">
            <v>1.3100000000000001E-2</v>
          </cell>
          <cell r="HK20">
            <v>1.5100000000000001E-2</v>
          </cell>
          <cell r="HL20">
            <v>8.8999999999999999E-3</v>
          </cell>
          <cell r="HM20">
            <v>2.1100000000000001E-2</v>
          </cell>
          <cell r="HN20">
            <v>1.37E-2</v>
          </cell>
          <cell r="HO20">
            <v>1.6799999999999999E-2</v>
          </cell>
          <cell r="HP20">
            <v>1.14E-2</v>
          </cell>
          <cell r="HQ20">
            <v>1.3100000000000001E-2</v>
          </cell>
          <cell r="HR20">
            <v>7.7000000000000002E-3</v>
          </cell>
          <cell r="HS20">
            <v>1.6799999999999999E-2</v>
          </cell>
          <cell r="HT20">
            <v>1.14E-2</v>
          </cell>
          <cell r="HU20">
            <v>1.3100000000000001E-2</v>
          </cell>
          <cell r="HV20">
            <v>7.7000000000000002E-3</v>
          </cell>
          <cell r="HW20" t="str">
            <v>%PPL</v>
          </cell>
        </row>
        <row r="21">
          <cell r="AC21" t="str">
            <v>MTD-GPP 3.0 PPA RES (Reseller)</v>
          </cell>
          <cell r="AD21" t="str">
            <v>Authorized</v>
          </cell>
          <cell r="AE21">
            <v>0</v>
          </cell>
          <cell r="AF21" t="str">
            <v>MTD-GPP 3.0 PPA RES (Reseller)-Authorized</v>
          </cell>
          <cell r="AG21" t="str">
            <v>PPA3</v>
          </cell>
          <cell r="AK21" t="str">
            <v>APJ-B-PMA_NBOS</v>
          </cell>
          <cell r="AL21" t="str">
            <v>New APJ-B_NBOS_TS_RFE</v>
          </cell>
          <cell r="AM21" t="str">
            <v>New APJ-B_NBOS_TS_RFE_FY</v>
          </cell>
          <cell r="AN21" t="str">
            <v>New APJ-B_NBOS_TS_RFR</v>
          </cell>
          <cell r="AO21" t="str">
            <v>New APJ-B_NBOS_TS_RFR_FY</v>
          </cell>
          <cell r="AP21" t="str">
            <v>New APJ-B_NBOS_TS_AE</v>
          </cell>
          <cell r="AQ21" t="str">
            <v>New APJ-B_NBOS_TS_AE_FY</v>
          </cell>
          <cell r="AV21" t="str">
            <v>7705 SAR-A/Ax</v>
          </cell>
          <cell r="AW21">
            <v>0.7</v>
          </cell>
          <cell r="AX21">
            <v>0.62</v>
          </cell>
          <cell r="AY21">
            <v>0.65</v>
          </cell>
          <cell r="AZ21">
            <v>0.65</v>
          </cell>
          <cell r="BA21">
            <v>0.59799999999999998</v>
          </cell>
          <cell r="BB21">
            <v>0.65</v>
          </cell>
          <cell r="BC21">
            <v>0.65</v>
          </cell>
          <cell r="BD21">
            <v>0.59799999999999998</v>
          </cell>
          <cell r="BE21">
            <v>0.65</v>
          </cell>
          <cell r="BF21">
            <v>0.7</v>
          </cell>
          <cell r="BG21">
            <v>0.65</v>
          </cell>
          <cell r="BH21">
            <v>0.65</v>
          </cell>
          <cell r="BI21">
            <v>0.67</v>
          </cell>
          <cell r="BJ21">
            <v>0.6</v>
          </cell>
          <cell r="BK21">
            <v>2.5000000000000001E-2</v>
          </cell>
          <cell r="BL21" t="str">
            <v>%PMP</v>
          </cell>
          <cell r="BM21">
            <v>2.3039775000000002E-2</v>
          </cell>
          <cell r="BN21">
            <v>1.6299999999999999E-2</v>
          </cell>
          <cell r="BO21">
            <v>2.15325E-2</v>
          </cell>
          <cell r="BP21">
            <v>1.2408374999999999E-2</v>
          </cell>
          <cell r="BQ21">
            <v>2.3039775000000002E-2</v>
          </cell>
          <cell r="BR21">
            <v>1.6299999999999999E-2</v>
          </cell>
          <cell r="BS21">
            <v>2.15325E-2</v>
          </cell>
          <cell r="BT21">
            <v>1.2408374999999999E-2</v>
          </cell>
          <cell r="BU21">
            <v>2.15325E-2</v>
          </cell>
          <cell r="BV21">
            <v>1.2408374999999999E-2</v>
          </cell>
          <cell r="BW21">
            <v>1.6965000000000001E-2</v>
          </cell>
          <cell r="BX21">
            <v>7.8299999999999984E-3</v>
          </cell>
          <cell r="BY21">
            <v>2.3685750000000002E-2</v>
          </cell>
          <cell r="BZ21">
            <v>1.4624156249999999E-2</v>
          </cell>
          <cell r="CA21">
            <v>1.7226000000000002E-2</v>
          </cell>
          <cell r="CB21">
            <v>9.9266999999999984E-3</v>
          </cell>
          <cell r="CC21">
            <v>1.3571999999999999E-2</v>
          </cell>
          <cell r="CD21">
            <v>6.2639999999999996E-3</v>
          </cell>
          <cell r="CE21">
            <v>1.7226000000000002E-2</v>
          </cell>
          <cell r="CF21">
            <v>9.9266999999999984E-3</v>
          </cell>
          <cell r="CG21">
            <v>1.3571999999999999E-2</v>
          </cell>
          <cell r="CH21">
            <v>6.2639999999999996E-3</v>
          </cell>
          <cell r="CI21">
            <v>1.586777681426586E-2</v>
          </cell>
          <cell r="CJ21">
            <v>1.1299999999999999E-2</v>
          </cell>
          <cell r="CK21">
            <v>1.4829697957257812E-2</v>
          </cell>
          <cell r="CL21">
            <v>9.7000000000000003E-3</v>
          </cell>
          <cell r="CM21">
            <v>1.586777681426586E-2</v>
          </cell>
          <cell r="CN21">
            <v>1.1299999999999999E-2</v>
          </cell>
          <cell r="CO21">
            <v>1.4829697957257812E-2</v>
          </cell>
          <cell r="CP21">
            <v>9.7000000000000003E-3</v>
          </cell>
          <cell r="CQ21">
            <v>1.4829697957257812E-2</v>
          </cell>
          <cell r="CR21">
            <v>7.9258723541830584E-3</v>
          </cell>
          <cell r="CS21">
            <v>1.3226487367283993E-2</v>
          </cell>
          <cell r="CT21">
            <v>5.8316785210297609E-3</v>
          </cell>
          <cell r="CU21">
            <v>1.6312667752983592E-2</v>
          </cell>
          <cell r="CV21">
            <v>9.3412067031443183E-3</v>
          </cell>
          <cell r="CW21">
            <v>1.1863758365806248E-2</v>
          </cell>
          <cell r="CX21">
            <v>6.3406978833464465E-3</v>
          </cell>
          <cell r="CY21">
            <v>1.0581189893827194E-2</v>
          </cell>
          <cell r="CZ21">
            <v>4.6653428168238085E-3</v>
          </cell>
          <cell r="DA21">
            <v>1.1863758365806248E-2</v>
          </cell>
          <cell r="DB21">
            <v>6.3406978833464465E-3</v>
          </cell>
          <cell r="DC21">
            <v>1.0581189893827194E-2</v>
          </cell>
          <cell r="DD21">
            <v>4.6653428168238085E-3</v>
          </cell>
          <cell r="DE21">
            <v>1.7899999999999999E-2</v>
          </cell>
          <cell r="DF21">
            <v>1.44E-2</v>
          </cell>
          <cell r="DG21">
            <v>1.5900000000000001E-2</v>
          </cell>
          <cell r="DH21">
            <v>1.24E-2</v>
          </cell>
          <cell r="DI21">
            <v>2.6100000000000002E-2</v>
          </cell>
          <cell r="DJ21">
            <v>2.2599999999999999E-2</v>
          </cell>
          <cell r="DK21">
            <v>2.3099999999999999E-2</v>
          </cell>
          <cell r="DL21">
            <v>1.9599999999999999E-2</v>
          </cell>
          <cell r="DM21">
            <v>1.7899999999999999E-2</v>
          </cell>
          <cell r="DN21">
            <v>1.44E-2</v>
          </cell>
          <cell r="DO21">
            <v>1.5900000000000001E-2</v>
          </cell>
          <cell r="DP21">
            <v>1.24E-2</v>
          </cell>
          <cell r="DQ21">
            <v>1.7899999999999999E-2</v>
          </cell>
          <cell r="DR21">
            <v>1.44E-2</v>
          </cell>
          <cell r="DS21">
            <v>1.5900000000000001E-2</v>
          </cell>
          <cell r="DT21">
            <v>1.24E-2</v>
          </cell>
          <cell r="DU21">
            <v>1.95E-2</v>
          </cell>
          <cell r="DV21">
            <v>1.41E-2</v>
          </cell>
          <cell r="DW21">
            <v>1.7299999999999999E-2</v>
          </cell>
          <cell r="DX21">
            <v>9.7000000000000003E-3</v>
          </cell>
          <cell r="DY21">
            <v>2.1399999999999999E-2</v>
          </cell>
          <cell r="DZ21">
            <v>1.35E-2</v>
          </cell>
          <cell r="EA21">
            <v>1.6199999999999999E-2</v>
          </cell>
          <cell r="EB21">
            <v>1.17E-2</v>
          </cell>
          <cell r="EC21">
            <v>1.44E-2</v>
          </cell>
          <cell r="ED21">
            <v>8.0999999999999996E-3</v>
          </cell>
          <cell r="EE21">
            <v>1.6199999999999999E-2</v>
          </cell>
          <cell r="EF21">
            <v>1.17E-2</v>
          </cell>
          <cell r="EG21">
            <v>1.44E-2</v>
          </cell>
          <cell r="EH21">
            <v>8.0999999999999996E-3</v>
          </cell>
          <cell r="EI21">
            <v>2.6100000000000002E-2</v>
          </cell>
          <cell r="EJ21">
            <v>2.2599999999999999E-2</v>
          </cell>
          <cell r="EK21">
            <v>2.3099999999999999E-2</v>
          </cell>
          <cell r="EL21">
            <v>1.9599999999999999E-2</v>
          </cell>
          <cell r="EM21">
            <v>1.7899999999999999E-2</v>
          </cell>
          <cell r="EN21">
            <v>1.44E-2</v>
          </cell>
          <cell r="EO21">
            <v>1.5900000000000001E-2</v>
          </cell>
          <cell r="EP21">
            <v>1.24E-2</v>
          </cell>
          <cell r="EQ21">
            <v>1.7899999999999999E-2</v>
          </cell>
          <cell r="ER21">
            <v>1.44E-2</v>
          </cell>
          <cell r="ES21">
            <v>1.5900000000000001E-2</v>
          </cell>
          <cell r="ET21">
            <v>1.24E-2</v>
          </cell>
          <cell r="EU21">
            <v>1.95E-2</v>
          </cell>
          <cell r="EV21">
            <v>1.41E-2</v>
          </cell>
          <cell r="EW21">
            <v>1.7299999999999999E-2</v>
          </cell>
          <cell r="EX21">
            <v>9.7000000000000003E-3</v>
          </cell>
          <cell r="EY21">
            <v>2.1399999999999999E-2</v>
          </cell>
          <cell r="EZ21">
            <v>1.35E-2</v>
          </cell>
          <cell r="FA21">
            <v>1.6199999999999999E-2</v>
          </cell>
          <cell r="FB21">
            <v>1.17E-2</v>
          </cell>
          <cell r="FC21">
            <v>1.44E-2</v>
          </cell>
          <cell r="FD21">
            <v>8.0999999999999996E-3</v>
          </cell>
          <cell r="FE21">
            <v>1.6199999999999999E-2</v>
          </cell>
          <cell r="FF21">
            <v>1.17E-2</v>
          </cell>
          <cell r="FG21">
            <v>1.44E-2</v>
          </cell>
          <cell r="FH21">
            <v>8.0999999999999996E-3</v>
          </cell>
          <cell r="FI21">
            <v>2.5499999999999998E-2</v>
          </cell>
          <cell r="FJ21">
            <v>2.1999999999999999E-2</v>
          </cell>
          <cell r="FK21">
            <v>2.1499999999999998E-2</v>
          </cell>
          <cell r="FL21">
            <v>1.7999999999999999E-2</v>
          </cell>
          <cell r="FM21">
            <v>2.5499999999999998E-2</v>
          </cell>
          <cell r="FN21">
            <v>2.1999999999999999E-2</v>
          </cell>
          <cell r="FO21">
            <v>2.1499999999999998E-2</v>
          </cell>
          <cell r="FP21">
            <v>1.7999999999999999E-2</v>
          </cell>
          <cell r="FQ21">
            <v>2.46E-2</v>
          </cell>
          <cell r="FR21">
            <v>1.9099999999999999E-2</v>
          </cell>
          <cell r="FS21">
            <v>1.9400000000000001E-2</v>
          </cell>
          <cell r="FT21">
            <v>1.2999999999999999E-2</v>
          </cell>
          <cell r="FU21">
            <v>2.7099999999999999E-2</v>
          </cell>
          <cell r="FV21">
            <v>1.9900000000000001E-2</v>
          </cell>
          <cell r="FW21">
            <v>2.1299999999999999E-2</v>
          </cell>
          <cell r="FX21">
            <v>1.66E-2</v>
          </cell>
          <cell r="FY21">
            <v>1.6799999999999999E-2</v>
          </cell>
          <cell r="FZ21">
            <v>1.1299999999999999E-2</v>
          </cell>
          <cell r="GA21">
            <v>2.1299999999999999E-2</v>
          </cell>
          <cell r="GB21">
            <v>1.66E-2</v>
          </cell>
          <cell r="GC21">
            <v>1.6799999999999999E-2</v>
          </cell>
          <cell r="GD21">
            <v>1.1299999999999999E-2</v>
          </cell>
          <cell r="GE21">
            <v>2.3219000000000004E-2</v>
          </cell>
          <cell r="GF21">
            <v>1.8480428571428575E-2</v>
          </cell>
          <cell r="GG21">
            <v>2.1700000000000001E-2</v>
          </cell>
          <cell r="GH21">
            <v>1.685625E-2</v>
          </cell>
          <cell r="GI21">
            <v>2.3219000000000004E-2</v>
          </cell>
          <cell r="GJ21">
            <v>1.8480428571428575E-2</v>
          </cell>
          <cell r="GK21">
            <v>2.1700000000000001E-2</v>
          </cell>
          <cell r="GL21">
            <v>1.685625E-2</v>
          </cell>
          <cell r="GM21">
            <v>2.1700000000000001E-2</v>
          </cell>
          <cell r="GN21">
            <v>1.49E-2</v>
          </cell>
          <cell r="GO21">
            <v>1.7100000000000001E-2</v>
          </cell>
          <cell r="GP21">
            <v>0.01</v>
          </cell>
          <cell r="GQ21">
            <v>2.3900000000000001E-2</v>
          </cell>
          <cell r="GR21">
            <v>1.55E-2</v>
          </cell>
          <cell r="GS21">
            <v>1.8800000000000001E-2</v>
          </cell>
          <cell r="GT21">
            <v>1.29E-2</v>
          </cell>
          <cell r="GU21">
            <v>1.4800000000000001E-2</v>
          </cell>
          <cell r="GV21">
            <v>8.6999999999999994E-3</v>
          </cell>
          <cell r="GW21">
            <v>1.8800000000000001E-2</v>
          </cell>
          <cell r="GX21">
            <v>1.29E-2</v>
          </cell>
          <cell r="GY21">
            <v>1.4800000000000001E-2</v>
          </cell>
          <cell r="GZ21">
            <v>8.6999999999999994E-3</v>
          </cell>
          <cell r="HA21">
            <v>2.0544E-2</v>
          </cell>
          <cell r="HB21">
            <v>1.6351346938775511E-2</v>
          </cell>
          <cell r="HC21">
            <v>1.9199999999999998E-2</v>
          </cell>
          <cell r="HD21">
            <v>1.4914285714285712E-2</v>
          </cell>
          <cell r="HE21">
            <v>2.0544E-2</v>
          </cell>
          <cell r="HF21">
            <v>1.6351346938775511E-2</v>
          </cell>
          <cell r="HG21">
            <v>1.9199999999999998E-2</v>
          </cell>
          <cell r="HH21">
            <v>1.4914285714285712E-2</v>
          </cell>
          <cell r="HI21">
            <v>1.9199999999999998E-2</v>
          </cell>
          <cell r="HJ21">
            <v>1.3100000000000001E-2</v>
          </cell>
          <cell r="HK21">
            <v>1.5100000000000001E-2</v>
          </cell>
          <cell r="HL21">
            <v>8.8999999999999999E-3</v>
          </cell>
          <cell r="HM21">
            <v>2.1100000000000001E-2</v>
          </cell>
          <cell r="HN21">
            <v>1.37E-2</v>
          </cell>
          <cell r="HO21">
            <v>1.6799999999999999E-2</v>
          </cell>
          <cell r="HP21">
            <v>1.14E-2</v>
          </cell>
          <cell r="HQ21">
            <v>1.3100000000000001E-2</v>
          </cell>
          <cell r="HR21">
            <v>7.7000000000000002E-3</v>
          </cell>
          <cell r="HS21">
            <v>1.6799999999999999E-2</v>
          </cell>
          <cell r="HT21">
            <v>1.14E-2</v>
          </cell>
          <cell r="HU21">
            <v>1.3100000000000001E-2</v>
          </cell>
          <cell r="HV21">
            <v>7.7000000000000002E-3</v>
          </cell>
          <cell r="HW21" t="str">
            <v>%PPL</v>
          </cell>
        </row>
        <row r="22">
          <cell r="AC22" t="str">
            <v>MTD-GPP 3.0 PPA RES (Reseller)</v>
          </cell>
          <cell r="AD22" t="str">
            <v>Basic</v>
          </cell>
          <cell r="AE22">
            <v>0.05</v>
          </cell>
          <cell r="AF22" t="str">
            <v>MTD-GPP 3.0 PPA RES (Reseller)-Basic</v>
          </cell>
          <cell r="AG22" t="str">
            <v>PPA3</v>
          </cell>
          <cell r="AK22" t="str">
            <v>APJ-C-PMA_NBOS</v>
          </cell>
          <cell r="AL22" t="str">
            <v>New APJ-C_NBOS_TS_RFE</v>
          </cell>
          <cell r="AM22" t="str">
            <v>New APJ-C_NBOS_TS_RFE_FY</v>
          </cell>
          <cell r="AN22" t="str">
            <v>New APJ-C_NBOS_TS_RFR</v>
          </cell>
          <cell r="AO22" t="str">
            <v>New APJ-C_NBOS_TS_RFR_FY</v>
          </cell>
          <cell r="AP22" t="str">
            <v>New APJ-C_NBOS_TS_AE</v>
          </cell>
          <cell r="AQ22" t="str">
            <v>New APJ-C_NBOS_TS_AE_FY</v>
          </cell>
          <cell r="AV22" t="str">
            <v>7705 SAR-H</v>
          </cell>
          <cell r="AW22">
            <v>0.62</v>
          </cell>
          <cell r="AX22">
            <v>0.62</v>
          </cell>
          <cell r="AY22">
            <v>0.62</v>
          </cell>
          <cell r="AZ22">
            <v>0.6</v>
          </cell>
          <cell r="BA22">
            <v>0.54100000000000004</v>
          </cell>
          <cell r="BB22">
            <v>0.65</v>
          </cell>
          <cell r="BC22">
            <v>0.6</v>
          </cell>
          <cell r="BD22">
            <v>0.54100000000000004</v>
          </cell>
          <cell r="BE22">
            <v>0.65</v>
          </cell>
          <cell r="BF22">
            <v>0.65</v>
          </cell>
          <cell r="BG22">
            <v>0.65</v>
          </cell>
          <cell r="BH22">
            <v>0.65</v>
          </cell>
          <cell r="BI22">
            <v>0.65</v>
          </cell>
          <cell r="BJ22">
            <v>0.6</v>
          </cell>
          <cell r="BK22">
            <v>2.5000000000000001E-2</v>
          </cell>
          <cell r="BL22" t="str">
            <v>%PMP</v>
          </cell>
          <cell r="BM22">
            <v>2.3039775000000002E-2</v>
          </cell>
          <cell r="BN22">
            <v>1.6299999999999999E-2</v>
          </cell>
          <cell r="BO22">
            <v>2.15325E-2</v>
          </cell>
          <cell r="BP22">
            <v>1.2408374999999999E-2</v>
          </cell>
          <cell r="BQ22">
            <v>2.3039775000000002E-2</v>
          </cell>
          <cell r="BR22">
            <v>1.6299999999999999E-2</v>
          </cell>
          <cell r="BS22">
            <v>2.15325E-2</v>
          </cell>
          <cell r="BT22">
            <v>1.2408374999999999E-2</v>
          </cell>
          <cell r="BU22">
            <v>2.15325E-2</v>
          </cell>
          <cell r="BV22">
            <v>1.2408374999999999E-2</v>
          </cell>
          <cell r="BW22">
            <v>1.6965000000000001E-2</v>
          </cell>
          <cell r="BX22">
            <v>7.8299999999999984E-3</v>
          </cell>
          <cell r="BY22">
            <v>2.3685750000000002E-2</v>
          </cell>
          <cell r="BZ22">
            <v>1.4624156249999999E-2</v>
          </cell>
          <cell r="CA22">
            <v>1.7226000000000002E-2</v>
          </cell>
          <cell r="CB22">
            <v>9.9266999999999984E-3</v>
          </cell>
          <cell r="CC22">
            <v>1.3571999999999999E-2</v>
          </cell>
          <cell r="CD22">
            <v>6.2639999999999996E-3</v>
          </cell>
          <cell r="CE22">
            <v>1.7226000000000002E-2</v>
          </cell>
          <cell r="CF22">
            <v>9.9266999999999984E-3</v>
          </cell>
          <cell r="CG22">
            <v>1.3571999999999999E-2</v>
          </cell>
          <cell r="CH22">
            <v>6.2639999999999996E-3</v>
          </cell>
          <cell r="CI22">
            <v>1.586777681426586E-2</v>
          </cell>
          <cell r="CJ22">
            <v>1.1299999999999999E-2</v>
          </cell>
          <cell r="CK22">
            <v>1.4829697957257812E-2</v>
          </cell>
          <cell r="CL22">
            <v>9.7000000000000003E-3</v>
          </cell>
          <cell r="CM22">
            <v>1.586777681426586E-2</v>
          </cell>
          <cell r="CN22">
            <v>1.1299999999999999E-2</v>
          </cell>
          <cell r="CO22">
            <v>1.4829697957257812E-2</v>
          </cell>
          <cell r="CP22">
            <v>9.7000000000000003E-3</v>
          </cell>
          <cell r="CQ22">
            <v>1.4829697957257812E-2</v>
          </cell>
          <cell r="CR22">
            <v>7.9258723541830584E-3</v>
          </cell>
          <cell r="CS22">
            <v>1.3226487367283993E-2</v>
          </cell>
          <cell r="CT22">
            <v>5.8316785210297609E-3</v>
          </cell>
          <cell r="CU22">
            <v>1.6312667752983592E-2</v>
          </cell>
          <cell r="CV22">
            <v>9.3412067031443183E-3</v>
          </cell>
          <cell r="CW22">
            <v>1.1863758365806248E-2</v>
          </cell>
          <cell r="CX22">
            <v>6.3406978833464465E-3</v>
          </cell>
          <cell r="CY22">
            <v>1.0581189893827194E-2</v>
          </cell>
          <cell r="CZ22">
            <v>4.6653428168238085E-3</v>
          </cell>
          <cell r="DA22">
            <v>1.1863758365806248E-2</v>
          </cell>
          <cell r="DB22">
            <v>6.3406978833464465E-3</v>
          </cell>
          <cell r="DC22">
            <v>1.0581189893827194E-2</v>
          </cell>
          <cell r="DD22">
            <v>4.6653428168238085E-3</v>
          </cell>
          <cell r="DE22">
            <v>1.7899999999999999E-2</v>
          </cell>
          <cell r="DF22">
            <v>1.44E-2</v>
          </cell>
          <cell r="DG22">
            <v>1.5900000000000001E-2</v>
          </cell>
          <cell r="DH22">
            <v>1.24E-2</v>
          </cell>
          <cell r="DI22">
            <v>2.6100000000000002E-2</v>
          </cell>
          <cell r="DJ22">
            <v>2.2599999999999999E-2</v>
          </cell>
          <cell r="DK22">
            <v>2.3099999999999999E-2</v>
          </cell>
          <cell r="DL22">
            <v>1.9599999999999999E-2</v>
          </cell>
          <cell r="DM22">
            <v>1.7899999999999999E-2</v>
          </cell>
          <cell r="DN22">
            <v>1.44E-2</v>
          </cell>
          <cell r="DO22">
            <v>1.5900000000000001E-2</v>
          </cell>
          <cell r="DP22">
            <v>1.24E-2</v>
          </cell>
          <cell r="DQ22">
            <v>1.7899999999999999E-2</v>
          </cell>
          <cell r="DR22">
            <v>1.44E-2</v>
          </cell>
          <cell r="DS22">
            <v>1.5900000000000001E-2</v>
          </cell>
          <cell r="DT22">
            <v>1.24E-2</v>
          </cell>
          <cell r="DU22">
            <v>1.95E-2</v>
          </cell>
          <cell r="DV22">
            <v>1.41E-2</v>
          </cell>
          <cell r="DW22">
            <v>1.7299999999999999E-2</v>
          </cell>
          <cell r="DX22">
            <v>9.7000000000000003E-3</v>
          </cell>
          <cell r="DY22">
            <v>2.1399999999999999E-2</v>
          </cell>
          <cell r="DZ22">
            <v>1.35E-2</v>
          </cell>
          <cell r="EA22">
            <v>1.6199999999999999E-2</v>
          </cell>
          <cell r="EB22">
            <v>1.17E-2</v>
          </cell>
          <cell r="EC22">
            <v>1.44E-2</v>
          </cell>
          <cell r="ED22">
            <v>8.0999999999999996E-3</v>
          </cell>
          <cell r="EE22">
            <v>1.6199999999999999E-2</v>
          </cell>
          <cell r="EF22">
            <v>1.17E-2</v>
          </cell>
          <cell r="EG22">
            <v>1.44E-2</v>
          </cell>
          <cell r="EH22">
            <v>8.0999999999999996E-3</v>
          </cell>
          <cell r="EI22">
            <v>2.6100000000000002E-2</v>
          </cell>
          <cell r="EJ22">
            <v>2.2599999999999999E-2</v>
          </cell>
          <cell r="EK22">
            <v>2.3099999999999999E-2</v>
          </cell>
          <cell r="EL22">
            <v>1.9599999999999999E-2</v>
          </cell>
          <cell r="EM22">
            <v>1.7899999999999999E-2</v>
          </cell>
          <cell r="EN22">
            <v>1.44E-2</v>
          </cell>
          <cell r="EO22">
            <v>1.5900000000000001E-2</v>
          </cell>
          <cell r="EP22">
            <v>1.24E-2</v>
          </cell>
          <cell r="EQ22">
            <v>1.7899999999999999E-2</v>
          </cell>
          <cell r="ER22">
            <v>1.44E-2</v>
          </cell>
          <cell r="ES22">
            <v>1.5900000000000001E-2</v>
          </cell>
          <cell r="ET22">
            <v>1.24E-2</v>
          </cell>
          <cell r="EU22">
            <v>1.95E-2</v>
          </cell>
          <cell r="EV22">
            <v>1.41E-2</v>
          </cell>
          <cell r="EW22">
            <v>1.7299999999999999E-2</v>
          </cell>
          <cell r="EX22">
            <v>9.7000000000000003E-3</v>
          </cell>
          <cell r="EY22">
            <v>2.1399999999999999E-2</v>
          </cell>
          <cell r="EZ22">
            <v>1.35E-2</v>
          </cell>
          <cell r="FA22">
            <v>1.6199999999999999E-2</v>
          </cell>
          <cell r="FB22">
            <v>1.17E-2</v>
          </cell>
          <cell r="FC22">
            <v>1.44E-2</v>
          </cell>
          <cell r="FD22">
            <v>8.0999999999999996E-3</v>
          </cell>
          <cell r="FE22">
            <v>1.6199999999999999E-2</v>
          </cell>
          <cell r="FF22">
            <v>1.17E-2</v>
          </cell>
          <cell r="FG22">
            <v>1.44E-2</v>
          </cell>
          <cell r="FH22">
            <v>8.0999999999999996E-3</v>
          </cell>
          <cell r="FI22">
            <v>2.5499999999999998E-2</v>
          </cell>
          <cell r="FJ22">
            <v>2.1999999999999999E-2</v>
          </cell>
          <cell r="FK22">
            <v>2.1499999999999998E-2</v>
          </cell>
          <cell r="FL22">
            <v>1.7999999999999999E-2</v>
          </cell>
          <cell r="FM22">
            <v>2.5499999999999998E-2</v>
          </cell>
          <cell r="FN22">
            <v>2.1999999999999999E-2</v>
          </cell>
          <cell r="FO22">
            <v>2.1499999999999998E-2</v>
          </cell>
          <cell r="FP22">
            <v>1.7999999999999999E-2</v>
          </cell>
          <cell r="FQ22">
            <v>2.46E-2</v>
          </cell>
          <cell r="FR22">
            <v>1.9099999999999999E-2</v>
          </cell>
          <cell r="FS22">
            <v>1.9400000000000001E-2</v>
          </cell>
          <cell r="FT22">
            <v>1.2999999999999999E-2</v>
          </cell>
          <cell r="FU22">
            <v>2.7099999999999999E-2</v>
          </cell>
          <cell r="FV22">
            <v>1.9900000000000001E-2</v>
          </cell>
          <cell r="FW22">
            <v>2.1299999999999999E-2</v>
          </cell>
          <cell r="FX22">
            <v>1.66E-2</v>
          </cell>
          <cell r="FY22">
            <v>1.6799999999999999E-2</v>
          </cell>
          <cell r="FZ22">
            <v>1.1299999999999999E-2</v>
          </cell>
          <cell r="GA22">
            <v>2.1299999999999999E-2</v>
          </cell>
          <cell r="GB22">
            <v>1.66E-2</v>
          </cell>
          <cell r="GC22">
            <v>1.6799999999999999E-2</v>
          </cell>
          <cell r="GD22">
            <v>1.1299999999999999E-2</v>
          </cell>
          <cell r="GE22">
            <v>2.3219000000000004E-2</v>
          </cell>
          <cell r="GF22">
            <v>1.8480428571428575E-2</v>
          </cell>
          <cell r="GG22">
            <v>2.1700000000000001E-2</v>
          </cell>
          <cell r="GH22">
            <v>1.685625E-2</v>
          </cell>
          <cell r="GI22">
            <v>2.3219000000000004E-2</v>
          </cell>
          <cell r="GJ22">
            <v>1.8480428571428575E-2</v>
          </cell>
          <cell r="GK22">
            <v>2.1700000000000001E-2</v>
          </cell>
          <cell r="GL22">
            <v>1.685625E-2</v>
          </cell>
          <cell r="GM22">
            <v>2.1700000000000001E-2</v>
          </cell>
          <cell r="GN22">
            <v>1.49E-2</v>
          </cell>
          <cell r="GO22">
            <v>1.7100000000000001E-2</v>
          </cell>
          <cell r="GP22">
            <v>0.01</v>
          </cell>
          <cell r="GQ22">
            <v>2.3900000000000001E-2</v>
          </cell>
          <cell r="GR22">
            <v>1.55E-2</v>
          </cell>
          <cell r="GS22">
            <v>1.8800000000000001E-2</v>
          </cell>
          <cell r="GT22">
            <v>1.29E-2</v>
          </cell>
          <cell r="GU22">
            <v>1.4800000000000001E-2</v>
          </cell>
          <cell r="GV22">
            <v>8.6999999999999994E-3</v>
          </cell>
          <cell r="GW22">
            <v>1.8800000000000001E-2</v>
          </cell>
          <cell r="GX22">
            <v>1.29E-2</v>
          </cell>
          <cell r="GY22">
            <v>1.4800000000000001E-2</v>
          </cell>
          <cell r="GZ22">
            <v>8.6999999999999994E-3</v>
          </cell>
          <cell r="HA22">
            <v>2.0544E-2</v>
          </cell>
          <cell r="HB22">
            <v>1.6351346938775511E-2</v>
          </cell>
          <cell r="HC22">
            <v>1.9199999999999998E-2</v>
          </cell>
          <cell r="HD22">
            <v>1.4914285714285712E-2</v>
          </cell>
          <cell r="HE22">
            <v>2.0544E-2</v>
          </cell>
          <cell r="HF22">
            <v>1.6351346938775511E-2</v>
          </cell>
          <cell r="HG22">
            <v>1.9199999999999998E-2</v>
          </cell>
          <cell r="HH22">
            <v>1.4914285714285712E-2</v>
          </cell>
          <cell r="HI22">
            <v>1.9199999999999998E-2</v>
          </cell>
          <cell r="HJ22">
            <v>1.3100000000000001E-2</v>
          </cell>
          <cell r="HK22">
            <v>1.5100000000000001E-2</v>
          </cell>
          <cell r="HL22">
            <v>8.8999999999999999E-3</v>
          </cell>
          <cell r="HM22">
            <v>2.1100000000000001E-2</v>
          </cell>
          <cell r="HN22">
            <v>1.37E-2</v>
          </cell>
          <cell r="HO22">
            <v>1.6799999999999999E-2</v>
          </cell>
          <cell r="HP22">
            <v>1.14E-2</v>
          </cell>
          <cell r="HQ22">
            <v>1.3100000000000001E-2</v>
          </cell>
          <cell r="HR22">
            <v>7.7000000000000002E-3</v>
          </cell>
          <cell r="HS22">
            <v>1.6799999999999999E-2</v>
          </cell>
          <cell r="HT22">
            <v>1.14E-2</v>
          </cell>
          <cell r="HU22">
            <v>1.3100000000000001E-2</v>
          </cell>
          <cell r="HV22">
            <v>7.7000000000000002E-3</v>
          </cell>
          <cell r="HW22" t="str">
            <v>%PPL</v>
          </cell>
        </row>
        <row r="23">
          <cell r="AC23" t="str">
            <v>MTD-GPP 3.0 PPA RES (Reseller)</v>
          </cell>
          <cell r="AD23" t="str">
            <v>Professional</v>
          </cell>
          <cell r="AE23">
            <v>0.15</v>
          </cell>
          <cell r="AF23" t="str">
            <v>MTD-GPP 3.0 PPA RES (Reseller)-Professional</v>
          </cell>
          <cell r="AG23" t="str">
            <v>PPA3</v>
          </cell>
          <cell r="AK23" t="str">
            <v>NAR-PMA_COP</v>
          </cell>
          <cell r="AL23" t="str">
            <v>NAR_CO_TS_RFE</v>
          </cell>
          <cell r="AM23" t="str">
            <v>NAR_CO_TS_RFE_FY</v>
          </cell>
          <cell r="AN23" t="str">
            <v>NAR_CO_TS_RFR</v>
          </cell>
          <cell r="AO23" t="str">
            <v>NAR_CO_TS_RFR_FY</v>
          </cell>
          <cell r="AV23" t="str">
            <v>7705 SAR-Hc</v>
          </cell>
          <cell r="AW23">
            <v>0.62</v>
          </cell>
          <cell r="AX23">
            <v>0.62</v>
          </cell>
          <cell r="AY23">
            <v>0.62</v>
          </cell>
          <cell r="AZ23">
            <v>0.62</v>
          </cell>
          <cell r="BA23">
            <v>0.56399999999999995</v>
          </cell>
          <cell r="BB23">
            <v>0.65</v>
          </cell>
          <cell r="BC23">
            <v>0.62</v>
          </cell>
          <cell r="BD23">
            <v>0.56399999999999995</v>
          </cell>
          <cell r="BE23">
            <v>0.65</v>
          </cell>
          <cell r="BF23">
            <v>0.65</v>
          </cell>
          <cell r="BG23">
            <v>0.65</v>
          </cell>
          <cell r="BH23">
            <v>0.65</v>
          </cell>
          <cell r="BI23">
            <v>0.65</v>
          </cell>
          <cell r="BJ23">
            <v>0.6</v>
          </cell>
          <cell r="BK23">
            <v>2.5000000000000001E-2</v>
          </cell>
          <cell r="BL23" t="str">
            <v>%PMP</v>
          </cell>
          <cell r="BM23">
            <v>2.3039775000000002E-2</v>
          </cell>
          <cell r="BN23">
            <v>1.6299999999999999E-2</v>
          </cell>
          <cell r="BO23">
            <v>2.15325E-2</v>
          </cell>
          <cell r="BP23">
            <v>1.2408374999999999E-2</v>
          </cell>
          <cell r="BQ23">
            <v>2.3039775000000002E-2</v>
          </cell>
          <cell r="BR23">
            <v>1.6299999999999999E-2</v>
          </cell>
          <cell r="BS23">
            <v>2.15325E-2</v>
          </cell>
          <cell r="BT23">
            <v>1.2408374999999999E-2</v>
          </cell>
          <cell r="BU23">
            <v>2.15325E-2</v>
          </cell>
          <cell r="BV23">
            <v>1.2408374999999999E-2</v>
          </cell>
          <cell r="BW23">
            <v>1.6965000000000001E-2</v>
          </cell>
          <cell r="BX23">
            <v>7.8299999999999984E-3</v>
          </cell>
          <cell r="BY23">
            <v>2.3685750000000002E-2</v>
          </cell>
          <cell r="BZ23">
            <v>1.4624156249999999E-2</v>
          </cell>
          <cell r="CA23">
            <v>1.7226000000000002E-2</v>
          </cell>
          <cell r="CB23">
            <v>9.9266999999999984E-3</v>
          </cell>
          <cell r="CC23">
            <v>1.3571999999999999E-2</v>
          </cell>
          <cell r="CD23">
            <v>6.2639999999999996E-3</v>
          </cell>
          <cell r="CE23">
            <v>1.7226000000000002E-2</v>
          </cell>
          <cell r="CF23">
            <v>9.9266999999999984E-3</v>
          </cell>
          <cell r="CG23">
            <v>1.3571999999999999E-2</v>
          </cell>
          <cell r="CH23">
            <v>6.2639999999999996E-3</v>
          </cell>
          <cell r="CI23">
            <v>1.586777681426586E-2</v>
          </cell>
          <cell r="CJ23">
            <v>1.1299999999999999E-2</v>
          </cell>
          <cell r="CK23">
            <v>1.4829697957257812E-2</v>
          </cell>
          <cell r="CL23">
            <v>9.7000000000000003E-3</v>
          </cell>
          <cell r="CM23">
            <v>1.586777681426586E-2</v>
          </cell>
          <cell r="CN23">
            <v>1.1299999999999999E-2</v>
          </cell>
          <cell r="CO23">
            <v>1.4829697957257812E-2</v>
          </cell>
          <cell r="CP23">
            <v>9.7000000000000003E-3</v>
          </cell>
          <cell r="CQ23">
            <v>1.4829697957257812E-2</v>
          </cell>
          <cell r="CR23">
            <v>7.9258723541830584E-3</v>
          </cell>
          <cell r="CS23">
            <v>1.3226487367283993E-2</v>
          </cell>
          <cell r="CT23">
            <v>5.8316785210297609E-3</v>
          </cell>
          <cell r="CU23">
            <v>1.6312667752983592E-2</v>
          </cell>
          <cell r="CV23">
            <v>9.3412067031443183E-3</v>
          </cell>
          <cell r="CW23">
            <v>1.1863758365806248E-2</v>
          </cell>
          <cell r="CX23">
            <v>6.3406978833464465E-3</v>
          </cell>
          <cell r="CY23">
            <v>1.0581189893827194E-2</v>
          </cell>
          <cell r="CZ23">
            <v>4.6653428168238085E-3</v>
          </cell>
          <cell r="DA23">
            <v>1.1863758365806248E-2</v>
          </cell>
          <cell r="DB23">
            <v>6.3406978833464465E-3</v>
          </cell>
          <cell r="DC23">
            <v>1.0581189893827194E-2</v>
          </cell>
          <cell r="DD23">
            <v>4.6653428168238085E-3</v>
          </cell>
          <cell r="DE23">
            <v>1.7899999999999999E-2</v>
          </cell>
          <cell r="DF23">
            <v>1.44E-2</v>
          </cell>
          <cell r="DG23">
            <v>1.5900000000000001E-2</v>
          </cell>
          <cell r="DH23">
            <v>1.24E-2</v>
          </cell>
          <cell r="DI23">
            <v>2.3099999999999999E-2</v>
          </cell>
          <cell r="DJ23">
            <v>1.9599999999999999E-2</v>
          </cell>
          <cell r="DK23">
            <v>2.0400000000000001E-2</v>
          </cell>
          <cell r="DL23">
            <v>1.6899999999999998E-2</v>
          </cell>
          <cell r="DM23">
            <v>1.7899999999999999E-2</v>
          </cell>
          <cell r="DN23">
            <v>1.44E-2</v>
          </cell>
          <cell r="DO23">
            <v>1.5900000000000001E-2</v>
          </cell>
          <cell r="DP23">
            <v>1.24E-2</v>
          </cell>
          <cell r="DQ23">
            <v>1.7899999999999999E-2</v>
          </cell>
          <cell r="DR23">
            <v>1.44E-2</v>
          </cell>
          <cell r="DS23">
            <v>1.5900000000000001E-2</v>
          </cell>
          <cell r="DT23">
            <v>1.24E-2</v>
          </cell>
          <cell r="DU23">
            <v>1.95E-2</v>
          </cell>
          <cell r="DV23">
            <v>1.41E-2</v>
          </cell>
          <cell r="DW23">
            <v>1.7299999999999999E-2</v>
          </cell>
          <cell r="DX23">
            <v>9.7000000000000003E-3</v>
          </cell>
          <cell r="DY23">
            <v>2.1399999999999999E-2</v>
          </cell>
          <cell r="DZ23">
            <v>1.35E-2</v>
          </cell>
          <cell r="EA23">
            <v>1.6199999999999999E-2</v>
          </cell>
          <cell r="EB23">
            <v>1.17E-2</v>
          </cell>
          <cell r="EC23">
            <v>1.44E-2</v>
          </cell>
          <cell r="ED23">
            <v>8.0999999999999996E-3</v>
          </cell>
          <cell r="EE23">
            <v>1.6199999999999999E-2</v>
          </cell>
          <cell r="EF23">
            <v>1.17E-2</v>
          </cell>
          <cell r="EG23">
            <v>1.44E-2</v>
          </cell>
          <cell r="EH23">
            <v>8.0999999999999996E-3</v>
          </cell>
          <cell r="EI23">
            <v>2.3099999999999999E-2</v>
          </cell>
          <cell r="EJ23">
            <v>1.9599999999999999E-2</v>
          </cell>
          <cell r="EK23">
            <v>2.0400000000000001E-2</v>
          </cell>
          <cell r="EL23">
            <v>1.6899999999999998E-2</v>
          </cell>
          <cell r="EM23">
            <v>1.7899999999999999E-2</v>
          </cell>
          <cell r="EN23">
            <v>1.44E-2</v>
          </cell>
          <cell r="EO23">
            <v>1.5900000000000001E-2</v>
          </cell>
          <cell r="EP23">
            <v>1.24E-2</v>
          </cell>
          <cell r="EQ23">
            <v>1.7899999999999999E-2</v>
          </cell>
          <cell r="ER23">
            <v>1.44E-2</v>
          </cell>
          <cell r="ES23">
            <v>1.5900000000000001E-2</v>
          </cell>
          <cell r="ET23">
            <v>1.24E-2</v>
          </cell>
          <cell r="EU23">
            <v>1.95E-2</v>
          </cell>
          <cell r="EV23">
            <v>1.41E-2</v>
          </cell>
          <cell r="EW23">
            <v>1.7299999999999999E-2</v>
          </cell>
          <cell r="EX23">
            <v>9.7000000000000003E-3</v>
          </cell>
          <cell r="EY23">
            <v>2.1399999999999999E-2</v>
          </cell>
          <cell r="EZ23">
            <v>1.35E-2</v>
          </cell>
          <cell r="FA23">
            <v>1.6199999999999999E-2</v>
          </cell>
          <cell r="FB23">
            <v>1.17E-2</v>
          </cell>
          <cell r="FC23">
            <v>1.44E-2</v>
          </cell>
          <cell r="FD23">
            <v>8.0999999999999996E-3</v>
          </cell>
          <cell r="FE23">
            <v>1.6199999999999999E-2</v>
          </cell>
          <cell r="FF23">
            <v>1.17E-2</v>
          </cell>
          <cell r="FG23">
            <v>1.44E-2</v>
          </cell>
          <cell r="FH23">
            <v>8.0999999999999996E-3</v>
          </cell>
          <cell r="FI23">
            <v>2.5499999999999998E-2</v>
          </cell>
          <cell r="FJ23">
            <v>2.1999999999999999E-2</v>
          </cell>
          <cell r="FK23">
            <v>2.1499999999999998E-2</v>
          </cell>
          <cell r="FL23">
            <v>1.7999999999999999E-2</v>
          </cell>
          <cell r="FM23">
            <v>2.5499999999999998E-2</v>
          </cell>
          <cell r="FN23">
            <v>2.1999999999999999E-2</v>
          </cell>
          <cell r="FO23">
            <v>2.1499999999999998E-2</v>
          </cell>
          <cell r="FP23">
            <v>1.7999999999999999E-2</v>
          </cell>
          <cell r="FQ23">
            <v>2.46E-2</v>
          </cell>
          <cell r="FR23">
            <v>1.9099999999999999E-2</v>
          </cell>
          <cell r="FS23">
            <v>1.9400000000000001E-2</v>
          </cell>
          <cell r="FT23">
            <v>1.2999999999999999E-2</v>
          </cell>
          <cell r="FU23">
            <v>2.7099999999999999E-2</v>
          </cell>
          <cell r="FV23">
            <v>1.9900000000000001E-2</v>
          </cell>
          <cell r="FW23">
            <v>2.1299999999999999E-2</v>
          </cell>
          <cell r="FX23">
            <v>1.66E-2</v>
          </cell>
          <cell r="FY23">
            <v>1.6799999999999999E-2</v>
          </cell>
          <cell r="FZ23">
            <v>1.1299999999999999E-2</v>
          </cell>
          <cell r="GA23">
            <v>2.1299999999999999E-2</v>
          </cell>
          <cell r="GB23">
            <v>1.66E-2</v>
          </cell>
          <cell r="GC23">
            <v>1.6799999999999999E-2</v>
          </cell>
          <cell r="GD23">
            <v>1.1299999999999999E-2</v>
          </cell>
          <cell r="GE23">
            <v>2.3219000000000004E-2</v>
          </cell>
          <cell r="GF23">
            <v>1.8480428571428575E-2</v>
          </cell>
          <cell r="GG23">
            <v>2.1700000000000001E-2</v>
          </cell>
          <cell r="GH23">
            <v>1.685625E-2</v>
          </cell>
          <cell r="GI23">
            <v>2.3219000000000004E-2</v>
          </cell>
          <cell r="GJ23">
            <v>1.8480428571428575E-2</v>
          </cell>
          <cell r="GK23">
            <v>2.1700000000000001E-2</v>
          </cell>
          <cell r="GL23">
            <v>1.685625E-2</v>
          </cell>
          <cell r="GM23">
            <v>2.1700000000000001E-2</v>
          </cell>
          <cell r="GN23">
            <v>1.49E-2</v>
          </cell>
          <cell r="GO23">
            <v>1.7100000000000001E-2</v>
          </cell>
          <cell r="GP23">
            <v>0.01</v>
          </cell>
          <cell r="GQ23">
            <v>2.3900000000000001E-2</v>
          </cell>
          <cell r="GR23">
            <v>1.55E-2</v>
          </cell>
          <cell r="GS23">
            <v>1.8800000000000001E-2</v>
          </cell>
          <cell r="GT23">
            <v>1.29E-2</v>
          </cell>
          <cell r="GU23">
            <v>1.4800000000000001E-2</v>
          </cell>
          <cell r="GV23">
            <v>8.6999999999999994E-3</v>
          </cell>
          <cell r="GW23">
            <v>1.8800000000000001E-2</v>
          </cell>
          <cell r="GX23">
            <v>1.29E-2</v>
          </cell>
          <cell r="GY23">
            <v>1.4800000000000001E-2</v>
          </cell>
          <cell r="GZ23">
            <v>8.6999999999999994E-3</v>
          </cell>
          <cell r="HA23">
            <v>2.0544E-2</v>
          </cell>
          <cell r="HB23">
            <v>1.6351346938775511E-2</v>
          </cell>
          <cell r="HC23">
            <v>1.9199999999999998E-2</v>
          </cell>
          <cell r="HD23">
            <v>1.4914285714285712E-2</v>
          </cell>
          <cell r="HE23">
            <v>2.0544E-2</v>
          </cell>
          <cell r="HF23">
            <v>1.6351346938775511E-2</v>
          </cell>
          <cell r="HG23">
            <v>1.9199999999999998E-2</v>
          </cell>
          <cell r="HH23">
            <v>1.4914285714285712E-2</v>
          </cell>
          <cell r="HI23">
            <v>1.9199999999999998E-2</v>
          </cell>
          <cell r="HJ23">
            <v>1.3100000000000001E-2</v>
          </cell>
          <cell r="HK23">
            <v>1.5100000000000001E-2</v>
          </cell>
          <cell r="HL23">
            <v>8.8999999999999999E-3</v>
          </cell>
          <cell r="HM23">
            <v>2.1100000000000001E-2</v>
          </cell>
          <cell r="HN23">
            <v>1.37E-2</v>
          </cell>
          <cell r="HO23">
            <v>1.6799999999999999E-2</v>
          </cell>
          <cell r="HP23">
            <v>1.14E-2</v>
          </cell>
          <cell r="HQ23">
            <v>1.3100000000000001E-2</v>
          </cell>
          <cell r="HR23">
            <v>7.7000000000000002E-3</v>
          </cell>
          <cell r="HS23">
            <v>1.6799999999999999E-2</v>
          </cell>
          <cell r="HT23">
            <v>1.14E-2</v>
          </cell>
          <cell r="HU23">
            <v>1.3100000000000001E-2</v>
          </cell>
          <cell r="HV23">
            <v>7.7000000000000002E-3</v>
          </cell>
          <cell r="HW23" t="str">
            <v>%PPL</v>
          </cell>
        </row>
        <row r="24">
          <cell r="AC24" t="str">
            <v>MTD-GPP 3.0 PPA RES (Reseller)</v>
          </cell>
          <cell r="AD24" t="str">
            <v>Premium</v>
          </cell>
          <cell r="AE24">
            <v>0.34</v>
          </cell>
          <cell r="AF24" t="str">
            <v>MTD-GPP 3.0 PPA RES (Reseller)-Premium</v>
          </cell>
          <cell r="AG24" t="str">
            <v>PPA3</v>
          </cell>
          <cell r="AK24" t="str">
            <v>CALA-PMA_COP</v>
          </cell>
          <cell r="AL24" t="str">
            <v>CALA_CO_TS_RFE</v>
          </cell>
          <cell r="AM24" t="str">
            <v>CALA_CO_TS_RFE_FY</v>
          </cell>
          <cell r="AN24" t="str">
            <v>CALA_CO_TS_RFR</v>
          </cell>
          <cell r="AO24" t="str">
            <v>CALA_CO_TS_RFR_FY</v>
          </cell>
          <cell r="AV24" t="str">
            <v>7705 SAR-Hm/Hmc</v>
          </cell>
          <cell r="AW24">
            <v>0.6</v>
          </cell>
          <cell r="AX24" t="str">
            <v>Custom</v>
          </cell>
          <cell r="AY24">
            <v>0.6</v>
          </cell>
          <cell r="AZ24">
            <v>0.56000000000000005</v>
          </cell>
          <cell r="BA24" t="str">
            <v>Custom</v>
          </cell>
          <cell r="BB24">
            <v>0.65</v>
          </cell>
          <cell r="BC24">
            <v>0.56000000000000005</v>
          </cell>
          <cell r="BD24" t="str">
            <v>Custom</v>
          </cell>
          <cell r="BE24">
            <v>0.65</v>
          </cell>
          <cell r="BF24" t="str">
            <v>Custom</v>
          </cell>
          <cell r="BG24" t="str">
            <v>Custom</v>
          </cell>
          <cell r="BH24">
            <v>0.65</v>
          </cell>
          <cell r="BI24">
            <v>0.68</v>
          </cell>
          <cell r="BJ24">
            <v>0.6</v>
          </cell>
          <cell r="BK24">
            <v>2.5000000000000001E-2</v>
          </cell>
          <cell r="BL24" t="str">
            <v>%PMP</v>
          </cell>
          <cell r="BM24">
            <v>2.3039775000000002E-2</v>
          </cell>
          <cell r="BN24">
            <v>1.6299999999999999E-2</v>
          </cell>
          <cell r="BO24">
            <v>2.15325E-2</v>
          </cell>
          <cell r="BP24">
            <v>1.2408374999999999E-2</v>
          </cell>
          <cell r="BQ24">
            <v>2.3039775000000002E-2</v>
          </cell>
          <cell r="BR24">
            <v>1.6299999999999999E-2</v>
          </cell>
          <cell r="BS24">
            <v>2.15325E-2</v>
          </cell>
          <cell r="BT24">
            <v>1.2408374999999999E-2</v>
          </cell>
          <cell r="BU24">
            <v>2.15325E-2</v>
          </cell>
          <cell r="BV24">
            <v>1.2408374999999999E-2</v>
          </cell>
          <cell r="BW24">
            <v>1.6965000000000001E-2</v>
          </cell>
          <cell r="BX24">
            <v>7.8299999999999984E-3</v>
          </cell>
          <cell r="BY24">
            <v>2.3685750000000002E-2</v>
          </cell>
          <cell r="BZ24">
            <v>1.4624156249999999E-2</v>
          </cell>
          <cell r="CA24">
            <v>1.7226000000000002E-2</v>
          </cell>
          <cell r="CB24">
            <v>9.9266999999999984E-3</v>
          </cell>
          <cell r="CC24">
            <v>1.3571999999999999E-2</v>
          </cell>
          <cell r="CD24">
            <v>6.2639999999999996E-3</v>
          </cell>
          <cell r="CE24">
            <v>1.7226000000000002E-2</v>
          </cell>
          <cell r="CF24">
            <v>9.9266999999999984E-3</v>
          </cell>
          <cell r="CG24">
            <v>1.3571999999999999E-2</v>
          </cell>
          <cell r="CH24">
            <v>6.2639999999999996E-3</v>
          </cell>
          <cell r="CI24">
            <v>1.586777681426586E-2</v>
          </cell>
          <cell r="CJ24">
            <v>1.1299999999999999E-2</v>
          </cell>
          <cell r="CK24">
            <v>1.4829697957257812E-2</v>
          </cell>
          <cell r="CL24">
            <v>9.7000000000000003E-3</v>
          </cell>
          <cell r="CM24">
            <v>1.586777681426586E-2</v>
          </cell>
          <cell r="CN24">
            <v>1.1299999999999999E-2</v>
          </cell>
          <cell r="CO24">
            <v>1.4829697957257812E-2</v>
          </cell>
          <cell r="CP24">
            <v>9.7000000000000003E-3</v>
          </cell>
          <cell r="CQ24">
            <v>1.4829697957257812E-2</v>
          </cell>
          <cell r="CR24">
            <v>7.9258723541830584E-3</v>
          </cell>
          <cell r="CS24">
            <v>1.3226487367283993E-2</v>
          </cell>
          <cell r="CT24">
            <v>5.8316785210297609E-3</v>
          </cell>
          <cell r="CU24">
            <v>1.6312667752983592E-2</v>
          </cell>
          <cell r="CV24">
            <v>9.3412067031443183E-3</v>
          </cell>
          <cell r="CW24">
            <v>1.1863758365806248E-2</v>
          </cell>
          <cell r="CX24">
            <v>6.3406978833464465E-3</v>
          </cell>
          <cell r="CY24">
            <v>1.0581189893827194E-2</v>
          </cell>
          <cell r="CZ24">
            <v>4.6653428168238085E-3</v>
          </cell>
          <cell r="DA24">
            <v>1.1863758365806248E-2</v>
          </cell>
          <cell r="DB24">
            <v>6.3406978833464465E-3</v>
          </cell>
          <cell r="DC24">
            <v>1.0581189893827194E-2</v>
          </cell>
          <cell r="DD24">
            <v>4.6653428168238085E-3</v>
          </cell>
          <cell r="DE24">
            <v>1.7899999999999999E-2</v>
          </cell>
          <cell r="DF24">
            <v>1.44E-2</v>
          </cell>
          <cell r="DG24">
            <v>1.5900000000000001E-2</v>
          </cell>
          <cell r="DH24">
            <v>1.24E-2</v>
          </cell>
          <cell r="DI24">
            <v>2.3099999999999999E-2</v>
          </cell>
          <cell r="DJ24">
            <v>1.9599999999999999E-2</v>
          </cell>
          <cell r="DK24">
            <v>2.0400000000000001E-2</v>
          </cell>
          <cell r="DL24">
            <v>1.6899999999999998E-2</v>
          </cell>
          <cell r="DM24">
            <v>1.7899999999999999E-2</v>
          </cell>
          <cell r="DN24">
            <v>1.44E-2</v>
          </cell>
          <cell r="DO24">
            <v>1.5900000000000001E-2</v>
          </cell>
          <cell r="DP24">
            <v>1.24E-2</v>
          </cell>
          <cell r="DQ24">
            <v>1.7899999999999999E-2</v>
          </cell>
          <cell r="DR24">
            <v>1.44E-2</v>
          </cell>
          <cell r="DS24">
            <v>1.5900000000000001E-2</v>
          </cell>
          <cell r="DT24">
            <v>1.24E-2</v>
          </cell>
          <cell r="DU24">
            <v>1.95E-2</v>
          </cell>
          <cell r="DV24">
            <v>1.41E-2</v>
          </cell>
          <cell r="DW24">
            <v>1.7299999999999999E-2</v>
          </cell>
          <cell r="DX24">
            <v>9.7000000000000003E-3</v>
          </cell>
          <cell r="DY24">
            <v>2.1399999999999999E-2</v>
          </cell>
          <cell r="DZ24">
            <v>1.35E-2</v>
          </cell>
          <cell r="EA24">
            <v>1.6199999999999999E-2</v>
          </cell>
          <cell r="EB24">
            <v>1.17E-2</v>
          </cell>
          <cell r="EC24">
            <v>1.44E-2</v>
          </cell>
          <cell r="ED24">
            <v>8.0999999999999996E-3</v>
          </cell>
          <cell r="EE24">
            <v>1.6199999999999999E-2</v>
          </cell>
          <cell r="EF24">
            <v>1.17E-2</v>
          </cell>
          <cell r="EG24">
            <v>1.44E-2</v>
          </cell>
          <cell r="EH24">
            <v>8.0999999999999996E-3</v>
          </cell>
          <cell r="EI24">
            <v>2.3099999999999999E-2</v>
          </cell>
          <cell r="EJ24">
            <v>1.9599999999999999E-2</v>
          </cell>
          <cell r="EK24">
            <v>2.0400000000000001E-2</v>
          </cell>
          <cell r="EL24">
            <v>1.6899999999999998E-2</v>
          </cell>
          <cell r="EM24">
            <v>1.7899999999999999E-2</v>
          </cell>
          <cell r="EN24">
            <v>1.44E-2</v>
          </cell>
          <cell r="EO24">
            <v>1.5900000000000001E-2</v>
          </cell>
          <cell r="EP24">
            <v>1.24E-2</v>
          </cell>
          <cell r="EQ24">
            <v>1.7899999999999999E-2</v>
          </cell>
          <cell r="ER24">
            <v>1.44E-2</v>
          </cell>
          <cell r="ES24">
            <v>1.5900000000000001E-2</v>
          </cell>
          <cell r="ET24">
            <v>1.24E-2</v>
          </cell>
          <cell r="EU24">
            <v>1.95E-2</v>
          </cell>
          <cell r="EV24">
            <v>1.41E-2</v>
          </cell>
          <cell r="EW24">
            <v>1.7299999999999999E-2</v>
          </cell>
          <cell r="EX24">
            <v>9.7000000000000003E-3</v>
          </cell>
          <cell r="EY24">
            <v>2.1399999999999999E-2</v>
          </cell>
          <cell r="EZ24">
            <v>1.35E-2</v>
          </cell>
          <cell r="FA24">
            <v>1.6199999999999999E-2</v>
          </cell>
          <cell r="FB24">
            <v>1.17E-2</v>
          </cell>
          <cell r="FC24">
            <v>1.44E-2</v>
          </cell>
          <cell r="FD24">
            <v>8.0999999999999996E-3</v>
          </cell>
          <cell r="FE24">
            <v>1.6199999999999999E-2</v>
          </cell>
          <cell r="FF24">
            <v>1.17E-2</v>
          </cell>
          <cell r="FG24">
            <v>1.44E-2</v>
          </cell>
          <cell r="FH24">
            <v>8.0999999999999996E-3</v>
          </cell>
          <cell r="FI24">
            <v>2.5499999999999998E-2</v>
          </cell>
          <cell r="FJ24">
            <v>2.1999999999999999E-2</v>
          </cell>
          <cell r="FK24">
            <v>2.1499999999999998E-2</v>
          </cell>
          <cell r="FL24">
            <v>1.7999999999999999E-2</v>
          </cell>
          <cell r="FM24">
            <v>2.5499999999999998E-2</v>
          </cell>
          <cell r="FN24">
            <v>2.1999999999999999E-2</v>
          </cell>
          <cell r="FO24">
            <v>2.1499999999999998E-2</v>
          </cell>
          <cell r="FP24">
            <v>1.7999999999999999E-2</v>
          </cell>
          <cell r="FQ24">
            <v>2.46E-2</v>
          </cell>
          <cell r="FR24">
            <v>1.9099999999999999E-2</v>
          </cell>
          <cell r="FS24">
            <v>1.9400000000000001E-2</v>
          </cell>
          <cell r="FT24">
            <v>1.2999999999999999E-2</v>
          </cell>
          <cell r="FU24">
            <v>2.7099999999999999E-2</v>
          </cell>
          <cell r="FV24">
            <v>1.9900000000000001E-2</v>
          </cell>
          <cell r="FW24">
            <v>2.1299999999999999E-2</v>
          </cell>
          <cell r="FX24">
            <v>1.66E-2</v>
          </cell>
          <cell r="FY24">
            <v>1.6799999999999999E-2</v>
          </cell>
          <cell r="FZ24">
            <v>1.1299999999999999E-2</v>
          </cell>
          <cell r="GA24">
            <v>2.1299999999999999E-2</v>
          </cell>
          <cell r="GB24">
            <v>1.66E-2</v>
          </cell>
          <cell r="GC24">
            <v>1.6799999999999999E-2</v>
          </cell>
          <cell r="GD24">
            <v>1.1299999999999999E-2</v>
          </cell>
          <cell r="GE24">
            <v>2.3219000000000004E-2</v>
          </cell>
          <cell r="GF24">
            <v>1.8480428571428575E-2</v>
          </cell>
          <cell r="GG24">
            <v>2.1700000000000001E-2</v>
          </cell>
          <cell r="GH24">
            <v>1.685625E-2</v>
          </cell>
          <cell r="GI24">
            <v>2.3219000000000004E-2</v>
          </cell>
          <cell r="GJ24">
            <v>1.8480428571428575E-2</v>
          </cell>
          <cell r="GK24">
            <v>2.1700000000000001E-2</v>
          </cell>
          <cell r="GL24">
            <v>1.685625E-2</v>
          </cell>
          <cell r="GM24">
            <v>2.1700000000000001E-2</v>
          </cell>
          <cell r="GN24">
            <v>1.49E-2</v>
          </cell>
          <cell r="GO24">
            <v>1.7100000000000001E-2</v>
          </cell>
          <cell r="GP24">
            <v>0.01</v>
          </cell>
          <cell r="GQ24">
            <v>2.3900000000000001E-2</v>
          </cell>
          <cell r="GR24">
            <v>1.55E-2</v>
          </cell>
          <cell r="GS24">
            <v>1.8800000000000001E-2</v>
          </cell>
          <cell r="GT24">
            <v>1.29E-2</v>
          </cell>
          <cell r="GU24">
            <v>1.4800000000000001E-2</v>
          </cell>
          <cell r="GV24">
            <v>8.6999999999999994E-3</v>
          </cell>
          <cell r="GW24">
            <v>1.8800000000000001E-2</v>
          </cell>
          <cell r="GX24">
            <v>1.29E-2</v>
          </cell>
          <cell r="GY24">
            <v>1.4800000000000001E-2</v>
          </cell>
          <cell r="GZ24">
            <v>8.6999999999999994E-3</v>
          </cell>
          <cell r="HA24">
            <v>2.0544E-2</v>
          </cell>
          <cell r="HB24">
            <v>1.6351346938775511E-2</v>
          </cell>
          <cell r="HC24">
            <v>1.9199999999999998E-2</v>
          </cell>
          <cell r="HD24">
            <v>1.4914285714285712E-2</v>
          </cell>
          <cell r="HE24">
            <v>2.0544E-2</v>
          </cell>
          <cell r="HF24">
            <v>1.6351346938775511E-2</v>
          </cell>
          <cell r="HG24">
            <v>1.9199999999999998E-2</v>
          </cell>
          <cell r="HH24">
            <v>1.4914285714285712E-2</v>
          </cell>
          <cell r="HI24">
            <v>1.9199999999999998E-2</v>
          </cell>
          <cell r="HJ24">
            <v>1.3100000000000001E-2</v>
          </cell>
          <cell r="HK24">
            <v>1.5100000000000001E-2</v>
          </cell>
          <cell r="HL24">
            <v>8.8999999999999999E-3</v>
          </cell>
          <cell r="HM24">
            <v>2.1100000000000001E-2</v>
          </cell>
          <cell r="HN24">
            <v>1.37E-2</v>
          </cell>
          <cell r="HO24">
            <v>1.6799999999999999E-2</v>
          </cell>
          <cell r="HP24">
            <v>1.14E-2</v>
          </cell>
          <cell r="HQ24">
            <v>1.3100000000000001E-2</v>
          </cell>
          <cell r="HR24">
            <v>7.7000000000000002E-3</v>
          </cell>
          <cell r="HS24">
            <v>1.6799999999999999E-2</v>
          </cell>
          <cell r="HT24">
            <v>1.14E-2</v>
          </cell>
          <cell r="HU24">
            <v>1.3100000000000001E-2</v>
          </cell>
          <cell r="HV24">
            <v>7.7000000000000002E-3</v>
          </cell>
          <cell r="HW24" t="str">
            <v>%PPL</v>
          </cell>
        </row>
        <row r="25">
          <cell r="AC25" t="str">
            <v>MTD-GPP 3.0 PPA RES (Reseller) w PMA</v>
          </cell>
          <cell r="AD25" t="str">
            <v>PMA - Nokia Brand (NBOS)</v>
          </cell>
          <cell r="AE25">
            <v>0.06</v>
          </cell>
          <cell r="AF25" t="str">
            <v>MTD-GPP 3.0 PPA RES (Reseller) w PMA-PMA - Nokia Brand (NBOS)</v>
          </cell>
          <cell r="AG25" t="str">
            <v>PMA_NBOS</v>
          </cell>
          <cell r="AK25" t="str">
            <v>EUROPE-PMA_COP</v>
          </cell>
          <cell r="AL25" t="str">
            <v>New EUROPE_CO_TS_RFE</v>
          </cell>
          <cell r="AM25" t="str">
            <v>New EUROPE_CO_TS_RFE_FY</v>
          </cell>
          <cell r="AN25" t="str">
            <v>New EUROPE_CO_TS_RFR</v>
          </cell>
          <cell r="AO25" t="str">
            <v>New EUROPE_CO_TS_RFR_FY</v>
          </cell>
          <cell r="AV25" t="str">
            <v>7705 SAR-M</v>
          </cell>
          <cell r="AW25">
            <v>0.7</v>
          </cell>
          <cell r="AX25">
            <v>0.62</v>
          </cell>
          <cell r="AY25">
            <v>0.65</v>
          </cell>
          <cell r="AZ25">
            <v>0.6</v>
          </cell>
          <cell r="BA25">
            <v>0.54100000000000004</v>
          </cell>
          <cell r="BB25">
            <v>0.65</v>
          </cell>
          <cell r="BC25">
            <v>0.6</v>
          </cell>
          <cell r="BD25">
            <v>0.54100000000000004</v>
          </cell>
          <cell r="BE25">
            <v>0.65</v>
          </cell>
          <cell r="BF25">
            <v>0.65</v>
          </cell>
          <cell r="BG25">
            <v>0.65</v>
          </cell>
          <cell r="BH25">
            <v>0.65</v>
          </cell>
          <cell r="BI25">
            <v>0.67</v>
          </cell>
          <cell r="BJ25">
            <v>0.6</v>
          </cell>
          <cell r="BK25">
            <v>2.5000000000000001E-2</v>
          </cell>
          <cell r="BL25" t="str">
            <v>%PMP</v>
          </cell>
          <cell r="BM25">
            <v>2.3039775000000002E-2</v>
          </cell>
          <cell r="BN25">
            <v>1.6299999999999999E-2</v>
          </cell>
          <cell r="BO25">
            <v>2.15325E-2</v>
          </cell>
          <cell r="BP25">
            <v>1.2408374999999999E-2</v>
          </cell>
          <cell r="BQ25">
            <v>2.3039775000000002E-2</v>
          </cell>
          <cell r="BR25">
            <v>1.6299999999999999E-2</v>
          </cell>
          <cell r="BS25">
            <v>2.15325E-2</v>
          </cell>
          <cell r="BT25">
            <v>1.2408374999999999E-2</v>
          </cell>
          <cell r="BU25">
            <v>2.15325E-2</v>
          </cell>
          <cell r="BV25">
            <v>1.2408374999999999E-2</v>
          </cell>
          <cell r="BW25">
            <v>1.6965000000000001E-2</v>
          </cell>
          <cell r="BX25">
            <v>7.8299999999999984E-3</v>
          </cell>
          <cell r="BY25">
            <v>2.3685750000000002E-2</v>
          </cell>
          <cell r="BZ25">
            <v>1.4624156249999999E-2</v>
          </cell>
          <cell r="CA25">
            <v>1.7226000000000002E-2</v>
          </cell>
          <cell r="CB25">
            <v>9.9266999999999984E-3</v>
          </cell>
          <cell r="CC25">
            <v>1.3571999999999999E-2</v>
          </cell>
          <cell r="CD25">
            <v>6.2639999999999996E-3</v>
          </cell>
          <cell r="CE25">
            <v>1.7226000000000002E-2</v>
          </cell>
          <cell r="CF25">
            <v>9.9266999999999984E-3</v>
          </cell>
          <cell r="CG25">
            <v>1.3571999999999999E-2</v>
          </cell>
          <cell r="CH25">
            <v>6.2639999999999996E-3</v>
          </cell>
          <cell r="CI25">
            <v>1.586777681426586E-2</v>
          </cell>
          <cell r="CJ25">
            <v>1.1299999999999999E-2</v>
          </cell>
          <cell r="CK25">
            <v>1.4829697957257812E-2</v>
          </cell>
          <cell r="CL25">
            <v>9.7000000000000003E-3</v>
          </cell>
          <cell r="CM25">
            <v>1.586777681426586E-2</v>
          </cell>
          <cell r="CN25">
            <v>1.1299999999999999E-2</v>
          </cell>
          <cell r="CO25">
            <v>1.4829697957257812E-2</v>
          </cell>
          <cell r="CP25">
            <v>9.7000000000000003E-3</v>
          </cell>
          <cell r="CQ25">
            <v>1.4829697957257812E-2</v>
          </cell>
          <cell r="CR25">
            <v>7.9258723541830584E-3</v>
          </cell>
          <cell r="CS25">
            <v>1.3226487367283993E-2</v>
          </cell>
          <cell r="CT25">
            <v>5.8316785210297609E-3</v>
          </cell>
          <cell r="CU25">
            <v>1.6312667752983592E-2</v>
          </cell>
          <cell r="CV25">
            <v>9.3412067031443183E-3</v>
          </cell>
          <cell r="CW25">
            <v>1.1863758365806248E-2</v>
          </cell>
          <cell r="CX25">
            <v>6.3406978833464465E-3</v>
          </cell>
          <cell r="CY25">
            <v>1.0581189893827194E-2</v>
          </cell>
          <cell r="CZ25">
            <v>4.6653428168238085E-3</v>
          </cell>
          <cell r="DA25">
            <v>1.1863758365806248E-2</v>
          </cell>
          <cell r="DB25">
            <v>6.3406978833464465E-3</v>
          </cell>
          <cell r="DC25">
            <v>1.0581189893827194E-2</v>
          </cell>
          <cell r="DD25">
            <v>4.6653428168238085E-3</v>
          </cell>
          <cell r="DE25">
            <v>1.7899999999999999E-2</v>
          </cell>
          <cell r="DF25">
            <v>1.44E-2</v>
          </cell>
          <cell r="DG25">
            <v>1.5900000000000001E-2</v>
          </cell>
          <cell r="DH25">
            <v>1.24E-2</v>
          </cell>
          <cell r="DI25">
            <v>2.6100000000000002E-2</v>
          </cell>
          <cell r="DJ25">
            <v>2.2599999999999999E-2</v>
          </cell>
          <cell r="DK25">
            <v>2.3099999999999999E-2</v>
          </cell>
          <cell r="DL25">
            <v>1.9599999999999999E-2</v>
          </cell>
          <cell r="DM25">
            <v>1.7899999999999999E-2</v>
          </cell>
          <cell r="DN25">
            <v>1.44E-2</v>
          </cell>
          <cell r="DO25">
            <v>1.5900000000000001E-2</v>
          </cell>
          <cell r="DP25">
            <v>1.24E-2</v>
          </cell>
          <cell r="DQ25">
            <v>1.7899999999999999E-2</v>
          </cell>
          <cell r="DR25">
            <v>1.44E-2</v>
          </cell>
          <cell r="DS25">
            <v>1.5900000000000001E-2</v>
          </cell>
          <cell r="DT25">
            <v>1.24E-2</v>
          </cell>
          <cell r="DU25">
            <v>1.95E-2</v>
          </cell>
          <cell r="DV25">
            <v>1.41E-2</v>
          </cell>
          <cell r="DW25">
            <v>1.7299999999999999E-2</v>
          </cell>
          <cell r="DX25">
            <v>9.7000000000000003E-3</v>
          </cell>
          <cell r="DY25">
            <v>2.1399999999999999E-2</v>
          </cell>
          <cell r="DZ25">
            <v>1.35E-2</v>
          </cell>
          <cell r="EA25">
            <v>1.6199999999999999E-2</v>
          </cell>
          <cell r="EB25">
            <v>1.17E-2</v>
          </cell>
          <cell r="EC25">
            <v>1.44E-2</v>
          </cell>
          <cell r="ED25">
            <v>8.0999999999999996E-3</v>
          </cell>
          <cell r="EE25">
            <v>1.6199999999999999E-2</v>
          </cell>
          <cell r="EF25">
            <v>1.17E-2</v>
          </cell>
          <cell r="EG25">
            <v>1.44E-2</v>
          </cell>
          <cell r="EH25">
            <v>8.0999999999999996E-3</v>
          </cell>
          <cell r="EI25">
            <v>2.6100000000000002E-2</v>
          </cell>
          <cell r="EJ25">
            <v>2.2599999999999999E-2</v>
          </cell>
          <cell r="EK25">
            <v>2.3099999999999999E-2</v>
          </cell>
          <cell r="EL25">
            <v>1.9599999999999999E-2</v>
          </cell>
          <cell r="EM25">
            <v>1.7899999999999999E-2</v>
          </cell>
          <cell r="EN25">
            <v>1.44E-2</v>
          </cell>
          <cell r="EO25">
            <v>1.5900000000000001E-2</v>
          </cell>
          <cell r="EP25">
            <v>1.24E-2</v>
          </cell>
          <cell r="EQ25">
            <v>1.7899999999999999E-2</v>
          </cell>
          <cell r="ER25">
            <v>1.44E-2</v>
          </cell>
          <cell r="ES25">
            <v>1.5900000000000001E-2</v>
          </cell>
          <cell r="ET25">
            <v>1.24E-2</v>
          </cell>
          <cell r="EU25">
            <v>1.95E-2</v>
          </cell>
          <cell r="EV25">
            <v>1.41E-2</v>
          </cell>
          <cell r="EW25">
            <v>1.7299999999999999E-2</v>
          </cell>
          <cell r="EX25">
            <v>9.7000000000000003E-3</v>
          </cell>
          <cell r="EY25">
            <v>2.1399999999999999E-2</v>
          </cell>
          <cell r="EZ25">
            <v>1.35E-2</v>
          </cell>
          <cell r="FA25">
            <v>1.6199999999999999E-2</v>
          </cell>
          <cell r="FB25">
            <v>1.17E-2</v>
          </cell>
          <cell r="FC25">
            <v>1.44E-2</v>
          </cell>
          <cell r="FD25">
            <v>8.0999999999999996E-3</v>
          </cell>
          <cell r="FE25">
            <v>1.6199999999999999E-2</v>
          </cell>
          <cell r="FF25">
            <v>1.17E-2</v>
          </cell>
          <cell r="FG25">
            <v>1.44E-2</v>
          </cell>
          <cell r="FH25">
            <v>8.0999999999999996E-3</v>
          </cell>
          <cell r="FI25">
            <v>2.5499999999999998E-2</v>
          </cell>
          <cell r="FJ25">
            <v>2.1999999999999999E-2</v>
          </cell>
          <cell r="FK25">
            <v>2.1499999999999998E-2</v>
          </cell>
          <cell r="FL25">
            <v>1.7999999999999999E-2</v>
          </cell>
          <cell r="FM25">
            <v>2.5499999999999998E-2</v>
          </cell>
          <cell r="FN25">
            <v>2.1999999999999999E-2</v>
          </cell>
          <cell r="FO25">
            <v>2.1499999999999998E-2</v>
          </cell>
          <cell r="FP25">
            <v>1.7999999999999999E-2</v>
          </cell>
          <cell r="FQ25">
            <v>2.46E-2</v>
          </cell>
          <cell r="FR25">
            <v>1.9099999999999999E-2</v>
          </cell>
          <cell r="FS25">
            <v>1.9400000000000001E-2</v>
          </cell>
          <cell r="FT25">
            <v>1.2999999999999999E-2</v>
          </cell>
          <cell r="FU25">
            <v>2.7099999999999999E-2</v>
          </cell>
          <cell r="FV25">
            <v>1.9900000000000001E-2</v>
          </cell>
          <cell r="FW25">
            <v>2.1299999999999999E-2</v>
          </cell>
          <cell r="FX25">
            <v>1.66E-2</v>
          </cell>
          <cell r="FY25">
            <v>1.6799999999999999E-2</v>
          </cell>
          <cell r="FZ25">
            <v>1.1299999999999999E-2</v>
          </cell>
          <cell r="GA25">
            <v>2.1299999999999999E-2</v>
          </cell>
          <cell r="GB25">
            <v>1.66E-2</v>
          </cell>
          <cell r="GC25">
            <v>1.6799999999999999E-2</v>
          </cell>
          <cell r="GD25">
            <v>1.1299999999999999E-2</v>
          </cell>
          <cell r="GE25">
            <v>2.3219000000000004E-2</v>
          </cell>
          <cell r="GF25">
            <v>1.8480428571428575E-2</v>
          </cell>
          <cell r="GG25">
            <v>2.1700000000000001E-2</v>
          </cell>
          <cell r="GH25">
            <v>1.685625E-2</v>
          </cell>
          <cell r="GI25">
            <v>2.3219000000000004E-2</v>
          </cell>
          <cell r="GJ25">
            <v>1.8480428571428575E-2</v>
          </cell>
          <cell r="GK25">
            <v>2.1700000000000001E-2</v>
          </cell>
          <cell r="GL25">
            <v>1.685625E-2</v>
          </cell>
          <cell r="GM25">
            <v>2.1700000000000001E-2</v>
          </cell>
          <cell r="GN25">
            <v>1.49E-2</v>
          </cell>
          <cell r="GO25">
            <v>1.7100000000000001E-2</v>
          </cell>
          <cell r="GP25">
            <v>0.01</v>
          </cell>
          <cell r="GQ25">
            <v>2.3900000000000001E-2</v>
          </cell>
          <cell r="GR25">
            <v>1.55E-2</v>
          </cell>
          <cell r="GS25">
            <v>1.8800000000000001E-2</v>
          </cell>
          <cell r="GT25">
            <v>1.29E-2</v>
          </cell>
          <cell r="GU25">
            <v>1.4800000000000001E-2</v>
          </cell>
          <cell r="GV25">
            <v>8.6999999999999994E-3</v>
          </cell>
          <cell r="GW25">
            <v>1.8800000000000001E-2</v>
          </cell>
          <cell r="GX25">
            <v>1.29E-2</v>
          </cell>
          <cell r="GY25">
            <v>1.4800000000000001E-2</v>
          </cell>
          <cell r="GZ25">
            <v>8.6999999999999994E-3</v>
          </cell>
          <cell r="HA25">
            <v>2.0544E-2</v>
          </cell>
          <cell r="HB25">
            <v>1.6351346938775511E-2</v>
          </cell>
          <cell r="HC25">
            <v>1.9199999999999998E-2</v>
          </cell>
          <cell r="HD25">
            <v>1.4914285714285712E-2</v>
          </cell>
          <cell r="HE25">
            <v>2.0544E-2</v>
          </cell>
          <cell r="HF25">
            <v>1.6351346938775511E-2</v>
          </cell>
          <cell r="HG25">
            <v>1.9199999999999998E-2</v>
          </cell>
          <cell r="HH25">
            <v>1.4914285714285712E-2</v>
          </cell>
          <cell r="HI25">
            <v>1.9199999999999998E-2</v>
          </cell>
          <cell r="HJ25">
            <v>1.3100000000000001E-2</v>
          </cell>
          <cell r="HK25">
            <v>1.5100000000000001E-2</v>
          </cell>
          <cell r="HL25">
            <v>8.8999999999999999E-3</v>
          </cell>
          <cell r="HM25">
            <v>2.1100000000000001E-2</v>
          </cell>
          <cell r="HN25">
            <v>1.37E-2</v>
          </cell>
          <cell r="HO25">
            <v>1.6799999999999999E-2</v>
          </cell>
          <cell r="HP25">
            <v>1.14E-2</v>
          </cell>
          <cell r="HQ25">
            <v>1.3100000000000001E-2</v>
          </cell>
          <cell r="HR25">
            <v>7.7000000000000002E-3</v>
          </cell>
          <cell r="HS25">
            <v>1.6799999999999999E-2</v>
          </cell>
          <cell r="HT25">
            <v>1.14E-2</v>
          </cell>
          <cell r="HU25">
            <v>1.3100000000000001E-2</v>
          </cell>
          <cell r="HV25">
            <v>7.7000000000000002E-3</v>
          </cell>
          <cell r="HW25" t="str">
            <v>%PPL</v>
          </cell>
        </row>
        <row r="26">
          <cell r="AC26" t="str">
            <v>MTD-GPP 3.0 PPA RES (Reseller) w PMA</v>
          </cell>
          <cell r="AD26" t="str">
            <v>PMA - Co-Brand (L1)</v>
          </cell>
          <cell r="AE26">
            <v>0.1</v>
          </cell>
          <cell r="AF26" t="str">
            <v>MTD-GPP 3.0 PPA RES (Reseller) w PMA-PMA - Co-Brand (L1)</v>
          </cell>
          <cell r="AG26" t="str">
            <v>PMA_COP</v>
          </cell>
          <cell r="AK26" t="str">
            <v>MEA-PMA_COP</v>
          </cell>
          <cell r="AL26" t="str">
            <v>New MEA_CO_TS_RFE</v>
          </cell>
          <cell r="AM26" t="str">
            <v>New MEA_CO_TS_RFE_FY</v>
          </cell>
          <cell r="AN26" t="str">
            <v>New MEA_CO_TS_RFR</v>
          </cell>
          <cell r="AO26" t="str">
            <v>New MEA_CO_TS_RFR_FY</v>
          </cell>
          <cell r="AV26" t="str">
            <v>7705 SAR-O</v>
          </cell>
          <cell r="AW26">
            <v>0.7</v>
          </cell>
          <cell r="AX26">
            <v>0.62</v>
          </cell>
          <cell r="AY26">
            <v>0.65</v>
          </cell>
          <cell r="AZ26">
            <v>0.6</v>
          </cell>
          <cell r="BA26">
            <v>0.54100000000000004</v>
          </cell>
          <cell r="BB26">
            <v>0.65</v>
          </cell>
          <cell r="BC26">
            <v>0.6</v>
          </cell>
          <cell r="BD26">
            <v>0.54100000000000004</v>
          </cell>
          <cell r="BE26">
            <v>0.65</v>
          </cell>
          <cell r="BF26">
            <v>0.65</v>
          </cell>
          <cell r="BG26">
            <v>0.65</v>
          </cell>
          <cell r="BH26">
            <v>0.65</v>
          </cell>
          <cell r="BI26">
            <v>0.67</v>
          </cell>
          <cell r="BJ26">
            <v>0.6</v>
          </cell>
          <cell r="BK26">
            <v>2.5000000000000001E-2</v>
          </cell>
          <cell r="BL26" t="str">
            <v>%PMP</v>
          </cell>
          <cell r="BM26">
            <v>2.3039775000000002E-2</v>
          </cell>
          <cell r="BN26">
            <v>1.6299999999999999E-2</v>
          </cell>
          <cell r="BO26">
            <v>2.15325E-2</v>
          </cell>
          <cell r="BP26">
            <v>1.2408374999999999E-2</v>
          </cell>
          <cell r="BQ26">
            <v>2.3039775000000002E-2</v>
          </cell>
          <cell r="BR26">
            <v>1.6299999999999999E-2</v>
          </cell>
          <cell r="BS26">
            <v>2.15325E-2</v>
          </cell>
          <cell r="BT26">
            <v>1.2408374999999999E-2</v>
          </cell>
          <cell r="BU26">
            <v>2.15325E-2</v>
          </cell>
          <cell r="BV26">
            <v>1.2408374999999999E-2</v>
          </cell>
          <cell r="BW26">
            <v>1.6965000000000001E-2</v>
          </cell>
          <cell r="BX26">
            <v>7.8299999999999984E-3</v>
          </cell>
          <cell r="BY26">
            <v>2.3685750000000002E-2</v>
          </cell>
          <cell r="BZ26">
            <v>1.4624156249999999E-2</v>
          </cell>
          <cell r="CA26">
            <v>1.7226000000000002E-2</v>
          </cell>
          <cell r="CB26">
            <v>9.9266999999999984E-3</v>
          </cell>
          <cell r="CC26">
            <v>1.3571999999999999E-2</v>
          </cell>
          <cell r="CD26">
            <v>6.2639999999999996E-3</v>
          </cell>
          <cell r="CE26">
            <v>1.7226000000000002E-2</v>
          </cell>
          <cell r="CF26">
            <v>9.9266999999999984E-3</v>
          </cell>
          <cell r="CG26">
            <v>1.3571999999999999E-2</v>
          </cell>
          <cell r="CH26">
            <v>6.2639999999999996E-3</v>
          </cell>
          <cell r="CI26">
            <v>1.586777681426586E-2</v>
          </cell>
          <cell r="CJ26">
            <v>1.1299999999999999E-2</v>
          </cell>
          <cell r="CK26">
            <v>1.4829697957257812E-2</v>
          </cell>
          <cell r="CL26">
            <v>9.7000000000000003E-3</v>
          </cell>
          <cell r="CM26">
            <v>1.586777681426586E-2</v>
          </cell>
          <cell r="CN26">
            <v>1.1299999999999999E-2</v>
          </cell>
          <cell r="CO26">
            <v>1.4829697957257812E-2</v>
          </cell>
          <cell r="CP26">
            <v>9.7000000000000003E-3</v>
          </cell>
          <cell r="CQ26">
            <v>1.4829697957257812E-2</v>
          </cell>
          <cell r="CR26">
            <v>7.9258723541830584E-3</v>
          </cell>
          <cell r="CS26">
            <v>1.3226487367283993E-2</v>
          </cell>
          <cell r="CT26">
            <v>5.8316785210297609E-3</v>
          </cell>
          <cell r="CU26">
            <v>1.6312667752983592E-2</v>
          </cell>
          <cell r="CV26">
            <v>9.3412067031443183E-3</v>
          </cell>
          <cell r="CW26">
            <v>1.1863758365806248E-2</v>
          </cell>
          <cell r="CX26">
            <v>6.3406978833464465E-3</v>
          </cell>
          <cell r="CY26">
            <v>1.0581189893827194E-2</v>
          </cell>
          <cell r="CZ26">
            <v>4.6653428168238085E-3</v>
          </cell>
          <cell r="DA26">
            <v>1.1863758365806248E-2</v>
          </cell>
          <cell r="DB26">
            <v>6.3406978833464465E-3</v>
          </cell>
          <cell r="DC26">
            <v>1.0581189893827194E-2</v>
          </cell>
          <cell r="DD26">
            <v>4.6653428168238085E-3</v>
          </cell>
          <cell r="DE26">
            <v>1.7899999999999999E-2</v>
          </cell>
          <cell r="DF26">
            <v>1.44E-2</v>
          </cell>
          <cell r="DG26">
            <v>1.5900000000000001E-2</v>
          </cell>
          <cell r="DH26">
            <v>1.24E-2</v>
          </cell>
          <cell r="DI26">
            <v>2.6100000000000002E-2</v>
          </cell>
          <cell r="DJ26">
            <v>2.2599999999999999E-2</v>
          </cell>
          <cell r="DK26">
            <v>2.3099999999999999E-2</v>
          </cell>
          <cell r="DL26">
            <v>1.9599999999999999E-2</v>
          </cell>
          <cell r="DM26">
            <v>1.7899999999999999E-2</v>
          </cell>
          <cell r="DN26">
            <v>1.44E-2</v>
          </cell>
          <cell r="DO26">
            <v>1.5900000000000001E-2</v>
          </cell>
          <cell r="DP26">
            <v>1.24E-2</v>
          </cell>
          <cell r="DQ26">
            <v>1.7899999999999999E-2</v>
          </cell>
          <cell r="DR26">
            <v>1.44E-2</v>
          </cell>
          <cell r="DS26">
            <v>1.5900000000000001E-2</v>
          </cell>
          <cell r="DT26">
            <v>1.24E-2</v>
          </cell>
          <cell r="DU26">
            <v>1.95E-2</v>
          </cell>
          <cell r="DV26">
            <v>1.41E-2</v>
          </cell>
          <cell r="DW26">
            <v>1.7299999999999999E-2</v>
          </cell>
          <cell r="DX26">
            <v>9.7000000000000003E-3</v>
          </cell>
          <cell r="DY26">
            <v>2.1399999999999999E-2</v>
          </cell>
          <cell r="DZ26">
            <v>1.35E-2</v>
          </cell>
          <cell r="EA26">
            <v>1.6199999999999999E-2</v>
          </cell>
          <cell r="EB26">
            <v>1.17E-2</v>
          </cell>
          <cell r="EC26">
            <v>1.44E-2</v>
          </cell>
          <cell r="ED26">
            <v>8.0999999999999996E-3</v>
          </cell>
          <cell r="EE26">
            <v>1.6199999999999999E-2</v>
          </cell>
          <cell r="EF26">
            <v>1.17E-2</v>
          </cell>
          <cell r="EG26">
            <v>1.44E-2</v>
          </cell>
          <cell r="EH26">
            <v>8.0999999999999996E-3</v>
          </cell>
          <cell r="EI26">
            <v>2.6100000000000002E-2</v>
          </cell>
          <cell r="EJ26">
            <v>2.2599999999999999E-2</v>
          </cell>
          <cell r="EK26">
            <v>2.3099999999999999E-2</v>
          </cell>
          <cell r="EL26">
            <v>1.9599999999999999E-2</v>
          </cell>
          <cell r="EM26">
            <v>1.7899999999999999E-2</v>
          </cell>
          <cell r="EN26">
            <v>1.44E-2</v>
          </cell>
          <cell r="EO26">
            <v>1.5900000000000001E-2</v>
          </cell>
          <cell r="EP26">
            <v>1.24E-2</v>
          </cell>
          <cell r="EQ26">
            <v>1.7899999999999999E-2</v>
          </cell>
          <cell r="ER26">
            <v>1.44E-2</v>
          </cell>
          <cell r="ES26">
            <v>1.5900000000000001E-2</v>
          </cell>
          <cell r="ET26">
            <v>1.24E-2</v>
          </cell>
          <cell r="EU26">
            <v>1.95E-2</v>
          </cell>
          <cell r="EV26">
            <v>1.41E-2</v>
          </cell>
          <cell r="EW26">
            <v>1.7299999999999999E-2</v>
          </cell>
          <cell r="EX26">
            <v>9.7000000000000003E-3</v>
          </cell>
          <cell r="EY26">
            <v>2.1399999999999999E-2</v>
          </cell>
          <cell r="EZ26">
            <v>1.35E-2</v>
          </cell>
          <cell r="FA26">
            <v>1.6199999999999999E-2</v>
          </cell>
          <cell r="FB26">
            <v>1.17E-2</v>
          </cell>
          <cell r="FC26">
            <v>1.44E-2</v>
          </cell>
          <cell r="FD26">
            <v>8.0999999999999996E-3</v>
          </cell>
          <cell r="FE26">
            <v>1.6199999999999999E-2</v>
          </cell>
          <cell r="FF26">
            <v>1.17E-2</v>
          </cell>
          <cell r="FG26">
            <v>1.44E-2</v>
          </cell>
          <cell r="FH26">
            <v>8.0999999999999996E-3</v>
          </cell>
          <cell r="FI26">
            <v>2.5499999999999998E-2</v>
          </cell>
          <cell r="FJ26">
            <v>2.1999999999999999E-2</v>
          </cell>
          <cell r="FK26">
            <v>2.1499999999999998E-2</v>
          </cell>
          <cell r="FL26">
            <v>1.7999999999999999E-2</v>
          </cell>
          <cell r="FM26">
            <v>2.5499999999999998E-2</v>
          </cell>
          <cell r="FN26">
            <v>2.1999999999999999E-2</v>
          </cell>
          <cell r="FO26">
            <v>2.1499999999999998E-2</v>
          </cell>
          <cell r="FP26">
            <v>1.7999999999999999E-2</v>
          </cell>
          <cell r="FQ26">
            <v>2.46E-2</v>
          </cell>
          <cell r="FR26">
            <v>1.9099999999999999E-2</v>
          </cell>
          <cell r="FS26">
            <v>1.9400000000000001E-2</v>
          </cell>
          <cell r="FT26">
            <v>1.2999999999999999E-2</v>
          </cell>
          <cell r="FU26">
            <v>2.7099999999999999E-2</v>
          </cell>
          <cell r="FV26">
            <v>1.9900000000000001E-2</v>
          </cell>
          <cell r="FW26">
            <v>2.1299999999999999E-2</v>
          </cell>
          <cell r="FX26">
            <v>1.66E-2</v>
          </cell>
          <cell r="FY26">
            <v>1.6799999999999999E-2</v>
          </cell>
          <cell r="FZ26">
            <v>1.1299999999999999E-2</v>
          </cell>
          <cell r="GA26">
            <v>2.1299999999999999E-2</v>
          </cell>
          <cell r="GB26">
            <v>1.66E-2</v>
          </cell>
          <cell r="GC26">
            <v>1.6799999999999999E-2</v>
          </cell>
          <cell r="GD26">
            <v>1.1299999999999999E-2</v>
          </cell>
          <cell r="GE26">
            <v>2.3219000000000004E-2</v>
          </cell>
          <cell r="GF26">
            <v>1.8480428571428575E-2</v>
          </cell>
          <cell r="GG26">
            <v>2.1700000000000001E-2</v>
          </cell>
          <cell r="GH26">
            <v>1.685625E-2</v>
          </cell>
          <cell r="GI26">
            <v>2.3219000000000004E-2</v>
          </cell>
          <cell r="GJ26">
            <v>1.8480428571428575E-2</v>
          </cell>
          <cell r="GK26">
            <v>2.1700000000000001E-2</v>
          </cell>
          <cell r="GL26">
            <v>1.685625E-2</v>
          </cell>
          <cell r="GM26">
            <v>2.1700000000000001E-2</v>
          </cell>
          <cell r="GN26">
            <v>1.49E-2</v>
          </cell>
          <cell r="GO26">
            <v>1.7100000000000001E-2</v>
          </cell>
          <cell r="GP26">
            <v>0.01</v>
          </cell>
          <cell r="GQ26">
            <v>2.3900000000000001E-2</v>
          </cell>
          <cell r="GR26">
            <v>1.55E-2</v>
          </cell>
          <cell r="GS26">
            <v>1.8800000000000001E-2</v>
          </cell>
          <cell r="GT26">
            <v>1.29E-2</v>
          </cell>
          <cell r="GU26">
            <v>1.4800000000000001E-2</v>
          </cell>
          <cell r="GV26">
            <v>8.6999999999999994E-3</v>
          </cell>
          <cell r="GW26">
            <v>1.8800000000000001E-2</v>
          </cell>
          <cell r="GX26">
            <v>1.29E-2</v>
          </cell>
          <cell r="GY26">
            <v>1.4800000000000001E-2</v>
          </cell>
          <cell r="GZ26">
            <v>8.6999999999999994E-3</v>
          </cell>
          <cell r="HA26">
            <v>2.0544E-2</v>
          </cell>
          <cell r="HB26">
            <v>1.6351346938775511E-2</v>
          </cell>
          <cell r="HC26">
            <v>1.9199999999999998E-2</v>
          </cell>
          <cell r="HD26">
            <v>1.4914285714285712E-2</v>
          </cell>
          <cell r="HE26">
            <v>2.0544E-2</v>
          </cell>
          <cell r="HF26">
            <v>1.6351346938775511E-2</v>
          </cell>
          <cell r="HG26">
            <v>1.9199999999999998E-2</v>
          </cell>
          <cell r="HH26">
            <v>1.4914285714285712E-2</v>
          </cell>
          <cell r="HI26">
            <v>1.9199999999999998E-2</v>
          </cell>
          <cell r="HJ26">
            <v>1.3100000000000001E-2</v>
          </cell>
          <cell r="HK26">
            <v>1.5100000000000001E-2</v>
          </cell>
          <cell r="HL26">
            <v>8.8999999999999999E-3</v>
          </cell>
          <cell r="HM26">
            <v>2.1100000000000001E-2</v>
          </cell>
          <cell r="HN26">
            <v>1.37E-2</v>
          </cell>
          <cell r="HO26">
            <v>1.6799999999999999E-2</v>
          </cell>
          <cell r="HP26">
            <v>1.14E-2</v>
          </cell>
          <cell r="HQ26">
            <v>1.3100000000000001E-2</v>
          </cell>
          <cell r="HR26">
            <v>7.7000000000000002E-3</v>
          </cell>
          <cell r="HS26">
            <v>1.6799999999999999E-2</v>
          </cell>
          <cell r="HT26">
            <v>1.14E-2</v>
          </cell>
          <cell r="HU26">
            <v>1.3100000000000001E-2</v>
          </cell>
          <cell r="HV26">
            <v>7.7000000000000002E-3</v>
          </cell>
          <cell r="HW26" t="str">
            <v>%PPL</v>
          </cell>
        </row>
        <row r="27">
          <cell r="AC27" t="str">
            <v>MTD-GPP 3.0 PPA RES (Reseller) w PMA</v>
          </cell>
          <cell r="AD27" t="str">
            <v>PMA - Partner Brand (L1&amp;L2)</v>
          </cell>
          <cell r="AE27">
            <v>0.2</v>
          </cell>
          <cell r="AF27" t="str">
            <v>MTD-GPP 3.0 PPA RES (Reseller) w PMA-PMA - Partner Brand (L1&amp;L2)</v>
          </cell>
          <cell r="AG27" t="str">
            <v>PMA_PL</v>
          </cell>
          <cell r="AK27" t="str">
            <v>APJ-A-PMA_COP</v>
          </cell>
          <cell r="AL27" t="str">
            <v>New APJ-A_CO_TS_RFE</v>
          </cell>
          <cell r="AM27" t="str">
            <v>New APJ-A_CO_TS_RFE_FY</v>
          </cell>
          <cell r="AN27" t="str">
            <v>New APJ-A_CO_TS_RFR</v>
          </cell>
          <cell r="AO27" t="str">
            <v>New APJ-A_CO_TS_RFR_FY</v>
          </cell>
          <cell r="AV27" t="str">
            <v>7705 SAR-W/Wx</v>
          </cell>
          <cell r="AW27">
            <v>0.7</v>
          </cell>
          <cell r="AX27">
            <v>0.62</v>
          </cell>
          <cell r="AY27">
            <v>0.65</v>
          </cell>
          <cell r="AZ27">
            <v>0.6</v>
          </cell>
          <cell r="BA27">
            <v>0.54100000000000004</v>
          </cell>
          <cell r="BB27">
            <v>0.65</v>
          </cell>
          <cell r="BC27">
            <v>0.6</v>
          </cell>
          <cell r="BD27">
            <v>0.54100000000000004</v>
          </cell>
          <cell r="BE27">
            <v>0.65</v>
          </cell>
          <cell r="BF27">
            <v>0.65</v>
          </cell>
          <cell r="BG27">
            <v>0.65</v>
          </cell>
          <cell r="BH27">
            <v>0.65</v>
          </cell>
          <cell r="BI27">
            <v>0.67</v>
          </cell>
          <cell r="BJ27">
            <v>0.6</v>
          </cell>
          <cell r="BK27">
            <v>2.5000000000000001E-2</v>
          </cell>
          <cell r="BL27" t="str">
            <v>%PMP</v>
          </cell>
          <cell r="BM27">
            <v>2.3039775000000002E-2</v>
          </cell>
          <cell r="BN27">
            <v>1.6299999999999999E-2</v>
          </cell>
          <cell r="BO27">
            <v>2.15325E-2</v>
          </cell>
          <cell r="BP27">
            <v>1.2408374999999999E-2</v>
          </cell>
          <cell r="BQ27">
            <v>2.3039775000000002E-2</v>
          </cell>
          <cell r="BR27">
            <v>1.6299999999999999E-2</v>
          </cell>
          <cell r="BS27">
            <v>2.15325E-2</v>
          </cell>
          <cell r="BT27">
            <v>1.2408374999999999E-2</v>
          </cell>
          <cell r="BU27">
            <v>2.15325E-2</v>
          </cell>
          <cell r="BV27">
            <v>1.2408374999999999E-2</v>
          </cell>
          <cell r="BW27">
            <v>1.6965000000000001E-2</v>
          </cell>
          <cell r="BX27">
            <v>7.8299999999999984E-3</v>
          </cell>
          <cell r="BY27">
            <v>2.3685750000000002E-2</v>
          </cell>
          <cell r="BZ27">
            <v>1.4624156249999999E-2</v>
          </cell>
          <cell r="CA27">
            <v>1.7226000000000002E-2</v>
          </cell>
          <cell r="CB27">
            <v>9.9266999999999984E-3</v>
          </cell>
          <cell r="CC27">
            <v>1.3571999999999999E-2</v>
          </cell>
          <cell r="CD27">
            <v>6.2639999999999996E-3</v>
          </cell>
          <cell r="CE27">
            <v>1.7226000000000002E-2</v>
          </cell>
          <cell r="CF27">
            <v>9.9266999999999984E-3</v>
          </cell>
          <cell r="CG27">
            <v>1.3571999999999999E-2</v>
          </cell>
          <cell r="CH27">
            <v>6.2639999999999996E-3</v>
          </cell>
          <cell r="CI27">
            <v>1.586777681426586E-2</v>
          </cell>
          <cell r="CJ27">
            <v>1.1299999999999999E-2</v>
          </cell>
          <cell r="CK27">
            <v>1.4829697957257812E-2</v>
          </cell>
          <cell r="CL27">
            <v>9.7000000000000003E-3</v>
          </cell>
          <cell r="CM27">
            <v>1.586777681426586E-2</v>
          </cell>
          <cell r="CN27">
            <v>1.1299999999999999E-2</v>
          </cell>
          <cell r="CO27">
            <v>1.4829697957257812E-2</v>
          </cell>
          <cell r="CP27">
            <v>9.7000000000000003E-3</v>
          </cell>
          <cell r="CQ27">
            <v>1.4829697957257812E-2</v>
          </cell>
          <cell r="CR27">
            <v>7.9258723541830584E-3</v>
          </cell>
          <cell r="CS27">
            <v>1.3226487367283993E-2</v>
          </cell>
          <cell r="CT27">
            <v>5.8316785210297609E-3</v>
          </cell>
          <cell r="CU27">
            <v>1.6312667752983592E-2</v>
          </cell>
          <cell r="CV27">
            <v>9.3412067031443183E-3</v>
          </cell>
          <cell r="CW27">
            <v>1.1863758365806248E-2</v>
          </cell>
          <cell r="CX27">
            <v>6.3406978833464465E-3</v>
          </cell>
          <cell r="CY27">
            <v>1.0581189893827194E-2</v>
          </cell>
          <cell r="CZ27">
            <v>4.6653428168238085E-3</v>
          </cell>
          <cell r="DA27">
            <v>1.1863758365806248E-2</v>
          </cell>
          <cell r="DB27">
            <v>6.3406978833464465E-3</v>
          </cell>
          <cell r="DC27">
            <v>1.0581189893827194E-2</v>
          </cell>
          <cell r="DD27">
            <v>4.6653428168238085E-3</v>
          </cell>
          <cell r="DE27">
            <v>1.7899999999999999E-2</v>
          </cell>
          <cell r="DF27">
            <v>1.44E-2</v>
          </cell>
          <cell r="DG27">
            <v>1.5900000000000001E-2</v>
          </cell>
          <cell r="DH27">
            <v>1.24E-2</v>
          </cell>
          <cell r="DI27">
            <v>2.6100000000000002E-2</v>
          </cell>
          <cell r="DJ27">
            <v>2.2599999999999999E-2</v>
          </cell>
          <cell r="DK27">
            <v>2.3099999999999999E-2</v>
          </cell>
          <cell r="DL27">
            <v>1.9599999999999999E-2</v>
          </cell>
          <cell r="DM27">
            <v>1.7899999999999999E-2</v>
          </cell>
          <cell r="DN27">
            <v>1.44E-2</v>
          </cell>
          <cell r="DO27">
            <v>1.5900000000000001E-2</v>
          </cell>
          <cell r="DP27">
            <v>1.24E-2</v>
          </cell>
          <cell r="DQ27">
            <v>1.7899999999999999E-2</v>
          </cell>
          <cell r="DR27">
            <v>1.44E-2</v>
          </cell>
          <cell r="DS27">
            <v>1.5900000000000001E-2</v>
          </cell>
          <cell r="DT27">
            <v>1.24E-2</v>
          </cell>
          <cell r="DU27">
            <v>1.95E-2</v>
          </cell>
          <cell r="DV27">
            <v>1.41E-2</v>
          </cell>
          <cell r="DW27">
            <v>1.7299999999999999E-2</v>
          </cell>
          <cell r="DX27">
            <v>9.7000000000000003E-3</v>
          </cell>
          <cell r="DY27">
            <v>2.1399999999999999E-2</v>
          </cell>
          <cell r="DZ27">
            <v>1.35E-2</v>
          </cell>
          <cell r="EA27">
            <v>1.6199999999999999E-2</v>
          </cell>
          <cell r="EB27">
            <v>1.17E-2</v>
          </cell>
          <cell r="EC27">
            <v>1.44E-2</v>
          </cell>
          <cell r="ED27">
            <v>8.0999999999999996E-3</v>
          </cell>
          <cell r="EE27">
            <v>1.6199999999999999E-2</v>
          </cell>
          <cell r="EF27">
            <v>1.17E-2</v>
          </cell>
          <cell r="EG27">
            <v>1.44E-2</v>
          </cell>
          <cell r="EH27">
            <v>8.0999999999999996E-3</v>
          </cell>
          <cell r="EI27">
            <v>2.6100000000000002E-2</v>
          </cell>
          <cell r="EJ27">
            <v>2.2599999999999999E-2</v>
          </cell>
          <cell r="EK27">
            <v>2.3099999999999999E-2</v>
          </cell>
          <cell r="EL27">
            <v>1.9599999999999999E-2</v>
          </cell>
          <cell r="EM27">
            <v>1.7899999999999999E-2</v>
          </cell>
          <cell r="EN27">
            <v>1.44E-2</v>
          </cell>
          <cell r="EO27">
            <v>1.5900000000000001E-2</v>
          </cell>
          <cell r="EP27">
            <v>1.24E-2</v>
          </cell>
          <cell r="EQ27">
            <v>1.7899999999999999E-2</v>
          </cell>
          <cell r="ER27">
            <v>1.44E-2</v>
          </cell>
          <cell r="ES27">
            <v>1.5900000000000001E-2</v>
          </cell>
          <cell r="ET27">
            <v>1.24E-2</v>
          </cell>
          <cell r="EU27">
            <v>1.95E-2</v>
          </cell>
          <cell r="EV27">
            <v>1.41E-2</v>
          </cell>
          <cell r="EW27">
            <v>1.7299999999999999E-2</v>
          </cell>
          <cell r="EX27">
            <v>9.7000000000000003E-3</v>
          </cell>
          <cell r="EY27">
            <v>2.1399999999999999E-2</v>
          </cell>
          <cell r="EZ27">
            <v>1.35E-2</v>
          </cell>
          <cell r="FA27">
            <v>1.6199999999999999E-2</v>
          </cell>
          <cell r="FB27">
            <v>1.17E-2</v>
          </cell>
          <cell r="FC27">
            <v>1.44E-2</v>
          </cell>
          <cell r="FD27">
            <v>8.0999999999999996E-3</v>
          </cell>
          <cell r="FE27">
            <v>1.6199999999999999E-2</v>
          </cell>
          <cell r="FF27">
            <v>1.17E-2</v>
          </cell>
          <cell r="FG27">
            <v>1.44E-2</v>
          </cell>
          <cell r="FH27">
            <v>8.0999999999999996E-3</v>
          </cell>
          <cell r="FI27">
            <v>2.5499999999999998E-2</v>
          </cell>
          <cell r="FJ27">
            <v>2.1999999999999999E-2</v>
          </cell>
          <cell r="FK27">
            <v>2.1499999999999998E-2</v>
          </cell>
          <cell r="FL27">
            <v>1.7999999999999999E-2</v>
          </cell>
          <cell r="FM27">
            <v>2.5499999999999998E-2</v>
          </cell>
          <cell r="FN27">
            <v>2.1999999999999999E-2</v>
          </cell>
          <cell r="FO27">
            <v>2.1499999999999998E-2</v>
          </cell>
          <cell r="FP27">
            <v>1.7999999999999999E-2</v>
          </cell>
          <cell r="FQ27">
            <v>2.46E-2</v>
          </cell>
          <cell r="FR27">
            <v>1.9099999999999999E-2</v>
          </cell>
          <cell r="FS27">
            <v>1.9400000000000001E-2</v>
          </cell>
          <cell r="FT27">
            <v>1.2999999999999999E-2</v>
          </cell>
          <cell r="FU27">
            <v>2.7099999999999999E-2</v>
          </cell>
          <cell r="FV27">
            <v>1.9900000000000001E-2</v>
          </cell>
          <cell r="FW27">
            <v>2.1299999999999999E-2</v>
          </cell>
          <cell r="FX27">
            <v>1.66E-2</v>
          </cell>
          <cell r="FY27">
            <v>1.6799999999999999E-2</v>
          </cell>
          <cell r="FZ27">
            <v>1.1299999999999999E-2</v>
          </cell>
          <cell r="GA27">
            <v>2.1299999999999999E-2</v>
          </cell>
          <cell r="GB27">
            <v>1.66E-2</v>
          </cell>
          <cell r="GC27">
            <v>1.6799999999999999E-2</v>
          </cell>
          <cell r="GD27">
            <v>1.1299999999999999E-2</v>
          </cell>
          <cell r="GE27">
            <v>2.3219000000000004E-2</v>
          </cell>
          <cell r="GF27">
            <v>1.8480428571428575E-2</v>
          </cell>
          <cell r="GG27">
            <v>2.1700000000000001E-2</v>
          </cell>
          <cell r="GH27">
            <v>1.685625E-2</v>
          </cell>
          <cell r="GI27">
            <v>2.3219000000000004E-2</v>
          </cell>
          <cell r="GJ27">
            <v>1.8480428571428575E-2</v>
          </cell>
          <cell r="GK27">
            <v>2.1700000000000001E-2</v>
          </cell>
          <cell r="GL27">
            <v>1.685625E-2</v>
          </cell>
          <cell r="GM27">
            <v>2.1700000000000001E-2</v>
          </cell>
          <cell r="GN27">
            <v>1.49E-2</v>
          </cell>
          <cell r="GO27">
            <v>1.7100000000000001E-2</v>
          </cell>
          <cell r="GP27">
            <v>0.01</v>
          </cell>
          <cell r="GQ27">
            <v>2.3900000000000001E-2</v>
          </cell>
          <cell r="GR27">
            <v>1.55E-2</v>
          </cell>
          <cell r="GS27">
            <v>1.8800000000000001E-2</v>
          </cell>
          <cell r="GT27">
            <v>1.29E-2</v>
          </cell>
          <cell r="GU27">
            <v>1.4800000000000001E-2</v>
          </cell>
          <cell r="GV27">
            <v>8.6999999999999994E-3</v>
          </cell>
          <cell r="GW27">
            <v>1.8800000000000001E-2</v>
          </cell>
          <cell r="GX27">
            <v>1.29E-2</v>
          </cell>
          <cell r="GY27">
            <v>1.4800000000000001E-2</v>
          </cell>
          <cell r="GZ27">
            <v>8.6999999999999994E-3</v>
          </cell>
          <cell r="HA27">
            <v>2.0544E-2</v>
          </cell>
          <cell r="HB27">
            <v>1.6351346938775511E-2</v>
          </cell>
          <cell r="HC27">
            <v>1.9199999999999998E-2</v>
          </cell>
          <cell r="HD27">
            <v>1.4914285714285712E-2</v>
          </cell>
          <cell r="HE27">
            <v>2.0544E-2</v>
          </cell>
          <cell r="HF27">
            <v>1.6351346938775511E-2</v>
          </cell>
          <cell r="HG27">
            <v>1.9199999999999998E-2</v>
          </cell>
          <cell r="HH27">
            <v>1.4914285714285712E-2</v>
          </cell>
          <cell r="HI27">
            <v>1.9199999999999998E-2</v>
          </cell>
          <cell r="HJ27">
            <v>1.3100000000000001E-2</v>
          </cell>
          <cell r="HK27">
            <v>1.5100000000000001E-2</v>
          </cell>
          <cell r="HL27">
            <v>8.8999999999999999E-3</v>
          </cell>
          <cell r="HM27">
            <v>2.1100000000000001E-2</v>
          </cell>
          <cell r="HN27">
            <v>1.37E-2</v>
          </cell>
          <cell r="HO27">
            <v>1.6799999999999999E-2</v>
          </cell>
          <cell r="HP27">
            <v>1.14E-2</v>
          </cell>
          <cell r="HQ27">
            <v>1.3100000000000001E-2</v>
          </cell>
          <cell r="HR27">
            <v>7.7000000000000002E-3</v>
          </cell>
          <cell r="HS27">
            <v>1.6799999999999999E-2</v>
          </cell>
          <cell r="HT27">
            <v>1.14E-2</v>
          </cell>
          <cell r="HU27">
            <v>1.3100000000000001E-2</v>
          </cell>
          <cell r="HV27">
            <v>7.7000000000000002E-3</v>
          </cell>
          <cell r="HW27" t="str">
            <v>%PPL</v>
          </cell>
        </row>
        <row r="28">
          <cell r="AC28" t="str">
            <v>MTD-GPP 3.0 PPA DIS (Distributor)</v>
          </cell>
          <cell r="AD28" t="str">
            <v>Authorized</v>
          </cell>
          <cell r="AE28">
            <v>0</v>
          </cell>
          <cell r="AF28" t="str">
            <v>MTD-GPP 3.0 PPA DIS (Distributor)-Authorized</v>
          </cell>
          <cell r="AG28" t="str">
            <v>PPA3</v>
          </cell>
          <cell r="AK28" t="str">
            <v>APJ-B-PMA_COP</v>
          </cell>
          <cell r="AL28" t="str">
            <v>New APJ-B_CO_TS_RFE</v>
          </cell>
          <cell r="AM28" t="str">
            <v>New APJ-B_CO_TS_RFE_FY</v>
          </cell>
          <cell r="AN28" t="str">
            <v>New APJ-B_CO_TS_RFR</v>
          </cell>
          <cell r="AO28" t="str">
            <v>New APJ-B_CO_TS_RFR_FY</v>
          </cell>
          <cell r="AV28" t="str">
            <v>7705 SAR-X</v>
          </cell>
          <cell r="AW28">
            <v>0.7</v>
          </cell>
          <cell r="AX28">
            <v>0.62</v>
          </cell>
          <cell r="AY28">
            <v>0.65</v>
          </cell>
          <cell r="AZ28">
            <v>0.67</v>
          </cell>
          <cell r="BA28">
            <v>0.621</v>
          </cell>
          <cell r="BB28">
            <v>0.65</v>
          </cell>
          <cell r="BC28">
            <v>0.67</v>
          </cell>
          <cell r="BD28">
            <v>0.621</v>
          </cell>
          <cell r="BE28">
            <v>0.65</v>
          </cell>
          <cell r="BF28">
            <v>0.65</v>
          </cell>
          <cell r="BG28">
            <v>0.65</v>
          </cell>
          <cell r="BH28">
            <v>0.65</v>
          </cell>
          <cell r="BI28">
            <v>0.67</v>
          </cell>
          <cell r="BJ28">
            <v>0.6</v>
          </cell>
          <cell r="BK28">
            <v>2.5000000000000001E-2</v>
          </cell>
          <cell r="BL28" t="str">
            <v>%PMP</v>
          </cell>
          <cell r="BM28">
            <v>2.3039775000000002E-2</v>
          </cell>
          <cell r="BN28">
            <v>1.6299999999999999E-2</v>
          </cell>
          <cell r="BO28">
            <v>2.15325E-2</v>
          </cell>
          <cell r="BP28">
            <v>1.2408374999999999E-2</v>
          </cell>
          <cell r="BQ28">
            <v>2.3039775000000002E-2</v>
          </cell>
          <cell r="BR28">
            <v>1.6299999999999999E-2</v>
          </cell>
          <cell r="BS28">
            <v>2.15325E-2</v>
          </cell>
          <cell r="BT28">
            <v>1.2408374999999999E-2</v>
          </cell>
          <cell r="BU28">
            <v>2.15325E-2</v>
          </cell>
          <cell r="BV28">
            <v>1.2408374999999999E-2</v>
          </cell>
          <cell r="BW28">
            <v>1.6965000000000001E-2</v>
          </cell>
          <cell r="BX28">
            <v>7.8299999999999984E-3</v>
          </cell>
          <cell r="BY28">
            <v>2.3685750000000002E-2</v>
          </cell>
          <cell r="BZ28">
            <v>1.4624156249999999E-2</v>
          </cell>
          <cell r="CA28">
            <v>1.7226000000000002E-2</v>
          </cell>
          <cell r="CB28">
            <v>9.9266999999999984E-3</v>
          </cell>
          <cell r="CC28">
            <v>1.3571999999999999E-2</v>
          </cell>
          <cell r="CD28">
            <v>6.2639999999999996E-3</v>
          </cell>
          <cell r="CE28">
            <v>1.7226000000000002E-2</v>
          </cell>
          <cell r="CF28">
            <v>9.9266999999999984E-3</v>
          </cell>
          <cell r="CG28">
            <v>1.3571999999999999E-2</v>
          </cell>
          <cell r="CH28">
            <v>6.2639999999999996E-3</v>
          </cell>
          <cell r="CI28">
            <v>1.586777681426586E-2</v>
          </cell>
          <cell r="CJ28">
            <v>1.1299999999999999E-2</v>
          </cell>
          <cell r="CK28">
            <v>1.4829697957257812E-2</v>
          </cell>
          <cell r="CL28">
            <v>9.7000000000000003E-3</v>
          </cell>
          <cell r="CM28">
            <v>1.586777681426586E-2</v>
          </cell>
          <cell r="CN28">
            <v>1.1299999999999999E-2</v>
          </cell>
          <cell r="CO28">
            <v>1.4829697957257812E-2</v>
          </cell>
          <cell r="CP28">
            <v>9.7000000000000003E-3</v>
          </cell>
          <cell r="CQ28">
            <v>1.4829697957257812E-2</v>
          </cell>
          <cell r="CR28">
            <v>7.9258723541830584E-3</v>
          </cell>
          <cell r="CS28">
            <v>1.3226487367283993E-2</v>
          </cell>
          <cell r="CT28">
            <v>5.8316785210297609E-3</v>
          </cell>
          <cell r="CU28">
            <v>1.6312667752983592E-2</v>
          </cell>
          <cell r="CV28">
            <v>9.3412067031443183E-3</v>
          </cell>
          <cell r="CW28">
            <v>1.1863758365806248E-2</v>
          </cell>
          <cell r="CX28">
            <v>6.3406978833464465E-3</v>
          </cell>
          <cell r="CY28">
            <v>1.0581189893827194E-2</v>
          </cell>
          <cell r="CZ28">
            <v>4.6653428168238085E-3</v>
          </cell>
          <cell r="DA28">
            <v>1.1863758365806248E-2</v>
          </cell>
          <cell r="DB28">
            <v>6.3406978833464465E-3</v>
          </cell>
          <cell r="DC28">
            <v>1.0581189893827194E-2</v>
          </cell>
          <cell r="DD28">
            <v>4.6653428168238085E-3</v>
          </cell>
          <cell r="DE28">
            <v>1.7899999999999999E-2</v>
          </cell>
          <cell r="DF28">
            <v>1.44E-2</v>
          </cell>
          <cell r="DG28">
            <v>1.5900000000000001E-2</v>
          </cell>
          <cell r="DH28">
            <v>1.24E-2</v>
          </cell>
          <cell r="DI28">
            <v>2.6100000000000002E-2</v>
          </cell>
          <cell r="DJ28">
            <v>2.2599999999999999E-2</v>
          </cell>
          <cell r="DK28">
            <v>2.3099999999999999E-2</v>
          </cell>
          <cell r="DL28">
            <v>1.9599999999999999E-2</v>
          </cell>
          <cell r="DM28">
            <v>1.7899999999999999E-2</v>
          </cell>
          <cell r="DN28">
            <v>1.44E-2</v>
          </cell>
          <cell r="DO28">
            <v>1.5900000000000001E-2</v>
          </cell>
          <cell r="DP28">
            <v>1.24E-2</v>
          </cell>
          <cell r="DQ28">
            <v>1.7899999999999999E-2</v>
          </cell>
          <cell r="DR28">
            <v>1.44E-2</v>
          </cell>
          <cell r="DS28">
            <v>1.5900000000000001E-2</v>
          </cell>
          <cell r="DT28">
            <v>1.24E-2</v>
          </cell>
          <cell r="DU28">
            <v>1.95E-2</v>
          </cell>
          <cell r="DV28">
            <v>1.41E-2</v>
          </cell>
          <cell r="DW28">
            <v>1.7299999999999999E-2</v>
          </cell>
          <cell r="DX28">
            <v>9.7000000000000003E-3</v>
          </cell>
          <cell r="DY28">
            <v>2.1399999999999999E-2</v>
          </cell>
          <cell r="DZ28">
            <v>1.35E-2</v>
          </cell>
          <cell r="EA28">
            <v>1.6199999999999999E-2</v>
          </cell>
          <cell r="EB28">
            <v>1.17E-2</v>
          </cell>
          <cell r="EC28">
            <v>1.44E-2</v>
          </cell>
          <cell r="ED28">
            <v>8.0999999999999996E-3</v>
          </cell>
          <cell r="EE28">
            <v>1.6199999999999999E-2</v>
          </cell>
          <cell r="EF28">
            <v>1.17E-2</v>
          </cell>
          <cell r="EG28">
            <v>1.44E-2</v>
          </cell>
          <cell r="EH28">
            <v>8.0999999999999996E-3</v>
          </cell>
          <cell r="EI28">
            <v>2.6100000000000002E-2</v>
          </cell>
          <cell r="EJ28">
            <v>2.2599999999999999E-2</v>
          </cell>
          <cell r="EK28">
            <v>2.3099999999999999E-2</v>
          </cell>
          <cell r="EL28">
            <v>1.9599999999999999E-2</v>
          </cell>
          <cell r="EM28">
            <v>1.7899999999999999E-2</v>
          </cell>
          <cell r="EN28">
            <v>1.44E-2</v>
          </cell>
          <cell r="EO28">
            <v>1.5900000000000001E-2</v>
          </cell>
          <cell r="EP28">
            <v>1.24E-2</v>
          </cell>
          <cell r="EQ28">
            <v>1.7899999999999999E-2</v>
          </cell>
          <cell r="ER28">
            <v>1.44E-2</v>
          </cell>
          <cell r="ES28">
            <v>1.5900000000000001E-2</v>
          </cell>
          <cell r="ET28">
            <v>1.24E-2</v>
          </cell>
          <cell r="EU28">
            <v>1.95E-2</v>
          </cell>
          <cell r="EV28">
            <v>1.41E-2</v>
          </cell>
          <cell r="EW28">
            <v>1.7299999999999999E-2</v>
          </cell>
          <cell r="EX28">
            <v>9.7000000000000003E-3</v>
          </cell>
          <cell r="EY28">
            <v>2.1399999999999999E-2</v>
          </cell>
          <cell r="EZ28">
            <v>1.35E-2</v>
          </cell>
          <cell r="FA28">
            <v>1.6199999999999999E-2</v>
          </cell>
          <cell r="FB28">
            <v>1.17E-2</v>
          </cell>
          <cell r="FC28">
            <v>1.44E-2</v>
          </cell>
          <cell r="FD28">
            <v>8.0999999999999996E-3</v>
          </cell>
          <cell r="FE28">
            <v>1.6199999999999999E-2</v>
          </cell>
          <cell r="FF28">
            <v>1.17E-2</v>
          </cell>
          <cell r="FG28">
            <v>1.44E-2</v>
          </cell>
          <cell r="FH28">
            <v>8.0999999999999996E-3</v>
          </cell>
          <cell r="FI28">
            <v>2.5499999999999998E-2</v>
          </cell>
          <cell r="FJ28">
            <v>2.1999999999999999E-2</v>
          </cell>
          <cell r="FK28">
            <v>2.1499999999999998E-2</v>
          </cell>
          <cell r="FL28">
            <v>1.7999999999999999E-2</v>
          </cell>
          <cell r="FM28">
            <v>2.5499999999999998E-2</v>
          </cell>
          <cell r="FN28">
            <v>2.1999999999999999E-2</v>
          </cell>
          <cell r="FO28">
            <v>2.1499999999999998E-2</v>
          </cell>
          <cell r="FP28">
            <v>1.7999999999999999E-2</v>
          </cell>
          <cell r="FQ28">
            <v>2.46E-2</v>
          </cell>
          <cell r="FR28">
            <v>1.9099999999999999E-2</v>
          </cell>
          <cell r="FS28">
            <v>1.9400000000000001E-2</v>
          </cell>
          <cell r="FT28">
            <v>1.2999999999999999E-2</v>
          </cell>
          <cell r="FU28">
            <v>2.7099999999999999E-2</v>
          </cell>
          <cell r="FV28">
            <v>1.9900000000000001E-2</v>
          </cell>
          <cell r="FW28">
            <v>2.1299999999999999E-2</v>
          </cell>
          <cell r="FX28">
            <v>1.66E-2</v>
          </cell>
          <cell r="FY28">
            <v>1.6799999999999999E-2</v>
          </cell>
          <cell r="FZ28">
            <v>1.1299999999999999E-2</v>
          </cell>
          <cell r="GA28">
            <v>2.1299999999999999E-2</v>
          </cell>
          <cell r="GB28">
            <v>1.66E-2</v>
          </cell>
          <cell r="GC28">
            <v>1.6799999999999999E-2</v>
          </cell>
          <cell r="GD28">
            <v>1.1299999999999999E-2</v>
          </cell>
          <cell r="GE28">
            <v>2.3219000000000004E-2</v>
          </cell>
          <cell r="GF28">
            <v>1.8480428571428575E-2</v>
          </cell>
          <cell r="GG28">
            <v>2.1700000000000001E-2</v>
          </cell>
          <cell r="GH28">
            <v>1.685625E-2</v>
          </cell>
          <cell r="GI28">
            <v>2.3219000000000004E-2</v>
          </cell>
          <cell r="GJ28">
            <v>1.8480428571428575E-2</v>
          </cell>
          <cell r="GK28">
            <v>2.1700000000000001E-2</v>
          </cell>
          <cell r="GL28">
            <v>1.685625E-2</v>
          </cell>
          <cell r="GM28">
            <v>2.1700000000000001E-2</v>
          </cell>
          <cell r="GN28">
            <v>1.49E-2</v>
          </cell>
          <cell r="GO28">
            <v>1.7100000000000001E-2</v>
          </cell>
          <cell r="GP28">
            <v>0.01</v>
          </cell>
          <cell r="GQ28">
            <v>2.3900000000000001E-2</v>
          </cell>
          <cell r="GR28">
            <v>1.55E-2</v>
          </cell>
          <cell r="GS28">
            <v>1.8800000000000001E-2</v>
          </cell>
          <cell r="GT28">
            <v>1.29E-2</v>
          </cell>
          <cell r="GU28">
            <v>1.4800000000000001E-2</v>
          </cell>
          <cell r="GV28">
            <v>8.6999999999999994E-3</v>
          </cell>
          <cell r="GW28">
            <v>1.8800000000000001E-2</v>
          </cell>
          <cell r="GX28">
            <v>1.29E-2</v>
          </cell>
          <cell r="GY28">
            <v>1.4800000000000001E-2</v>
          </cell>
          <cell r="GZ28">
            <v>8.6999999999999994E-3</v>
          </cell>
          <cell r="HA28">
            <v>2.0544E-2</v>
          </cell>
          <cell r="HB28">
            <v>1.6351346938775511E-2</v>
          </cell>
          <cell r="HC28">
            <v>1.9199999999999998E-2</v>
          </cell>
          <cell r="HD28">
            <v>1.4914285714285712E-2</v>
          </cell>
          <cell r="HE28">
            <v>2.0544E-2</v>
          </cell>
          <cell r="HF28">
            <v>1.6351346938775511E-2</v>
          </cell>
          <cell r="HG28">
            <v>1.9199999999999998E-2</v>
          </cell>
          <cell r="HH28">
            <v>1.4914285714285712E-2</v>
          </cell>
          <cell r="HI28">
            <v>1.9199999999999998E-2</v>
          </cell>
          <cell r="HJ28">
            <v>1.3100000000000001E-2</v>
          </cell>
          <cell r="HK28">
            <v>1.5100000000000001E-2</v>
          </cell>
          <cell r="HL28">
            <v>8.8999999999999999E-3</v>
          </cell>
          <cell r="HM28">
            <v>2.1100000000000001E-2</v>
          </cell>
          <cell r="HN28">
            <v>1.37E-2</v>
          </cell>
          <cell r="HO28">
            <v>1.6799999999999999E-2</v>
          </cell>
          <cell r="HP28">
            <v>1.14E-2</v>
          </cell>
          <cell r="HQ28">
            <v>1.3100000000000001E-2</v>
          </cell>
          <cell r="HR28">
            <v>7.7000000000000002E-3</v>
          </cell>
          <cell r="HS28">
            <v>1.6799999999999999E-2</v>
          </cell>
          <cell r="HT28">
            <v>1.14E-2</v>
          </cell>
          <cell r="HU28">
            <v>1.3100000000000001E-2</v>
          </cell>
          <cell r="HV28">
            <v>7.7000000000000002E-3</v>
          </cell>
          <cell r="HW28" t="str">
            <v>%PPL</v>
          </cell>
        </row>
        <row r="29">
          <cell r="AC29" t="str">
            <v>MTD-GPP 3.0 PPA DIS (Distributor)</v>
          </cell>
          <cell r="AD29" t="str">
            <v>Basic Distributor</v>
          </cell>
          <cell r="AE29">
            <v>7.0000000000000007E-2</v>
          </cell>
          <cell r="AF29" t="str">
            <v>MTD-GPP 3.0 PPA DIS (Distributor)-Basic Distributor</v>
          </cell>
          <cell r="AG29" t="str">
            <v>PPA3</v>
          </cell>
          <cell r="AK29" t="str">
            <v>APJ-C-PMA_COP</v>
          </cell>
          <cell r="AL29" t="str">
            <v>New APJ-C_CO_TS_RFE</v>
          </cell>
          <cell r="AM29" t="str">
            <v>New APJ-C_CO_TS_RFE_FY</v>
          </cell>
          <cell r="AN29" t="str">
            <v>New APJ-C_CO_TS_RFR</v>
          </cell>
          <cell r="AO29" t="str">
            <v>New APJ-C_CO_TS_RFR_FY</v>
          </cell>
          <cell r="AV29" t="str">
            <v>7750 Accessories</v>
          </cell>
          <cell r="AW29">
            <v>0.75</v>
          </cell>
          <cell r="AX29">
            <v>0.62</v>
          </cell>
          <cell r="AY29">
            <v>0.65</v>
          </cell>
          <cell r="AZ29">
            <v>0.6</v>
          </cell>
          <cell r="BA29">
            <v>0.56000000000000005</v>
          </cell>
          <cell r="BB29">
            <v>0.65</v>
          </cell>
          <cell r="BC29">
            <v>0.6</v>
          </cell>
          <cell r="BD29">
            <v>0.56000000000000005</v>
          </cell>
          <cell r="BE29">
            <v>0.65</v>
          </cell>
          <cell r="BF29">
            <v>0.4</v>
          </cell>
          <cell r="BG29">
            <v>0.4</v>
          </cell>
          <cell r="BH29">
            <v>0.65</v>
          </cell>
          <cell r="BI29">
            <v>0.7</v>
          </cell>
          <cell r="BJ29">
            <v>0.6</v>
          </cell>
          <cell r="BK29">
            <v>2.5000000000000001E-2</v>
          </cell>
          <cell r="BL29" t="str">
            <v>%PMP</v>
          </cell>
          <cell r="BM29">
            <v>1.83E-2</v>
          </cell>
          <cell r="BN29">
            <v>1.4800000000000001E-2</v>
          </cell>
          <cell r="BO29">
            <v>1.5299999999999999E-2</v>
          </cell>
          <cell r="BP29">
            <v>1.18E-2</v>
          </cell>
          <cell r="BQ29">
            <v>1.83E-2</v>
          </cell>
          <cell r="BR29">
            <v>1.4800000000000001E-2</v>
          </cell>
          <cell r="BS29">
            <v>1.5299999999999999E-2</v>
          </cell>
          <cell r="BT29">
            <v>1.18E-2</v>
          </cell>
          <cell r="BU29">
            <v>1.464E-2</v>
          </cell>
          <cell r="BV29">
            <v>8.2880000000000002E-3</v>
          </cell>
          <cell r="BW29">
            <v>1.2240000000000001E-2</v>
          </cell>
          <cell r="BX29">
            <v>5.6639999999999998E-3</v>
          </cell>
          <cell r="BY29">
            <v>1.6104E-2</v>
          </cell>
          <cell r="BZ29">
            <v>9.7680000000000024E-3</v>
          </cell>
          <cell r="CA29">
            <v>1.1712E-2</v>
          </cell>
          <cell r="CB29">
            <v>6.6304000000000007E-3</v>
          </cell>
          <cell r="CC29">
            <v>9.7920000000000004E-3</v>
          </cell>
          <cell r="CD29">
            <v>4.5312E-3</v>
          </cell>
          <cell r="CE29">
            <v>1.1712E-2</v>
          </cell>
          <cell r="CF29">
            <v>6.6304000000000007E-3</v>
          </cell>
          <cell r="CG29">
            <v>9.7920000000000004E-3</v>
          </cell>
          <cell r="CH29">
            <v>4.5312E-3</v>
          </cell>
          <cell r="CI29">
            <v>2.3900000000000001E-2</v>
          </cell>
          <cell r="CJ29">
            <v>2.0399999999999998E-2</v>
          </cell>
          <cell r="CK29">
            <v>2.1700000000000001E-2</v>
          </cell>
          <cell r="CL29">
            <v>1.8200000000000001E-2</v>
          </cell>
          <cell r="CM29">
            <v>2.3900000000000001E-2</v>
          </cell>
          <cell r="CN29">
            <v>2.0399999999999998E-2</v>
          </cell>
          <cell r="CO29">
            <v>2.1700000000000001E-2</v>
          </cell>
          <cell r="CP29">
            <v>1.8200000000000001E-2</v>
          </cell>
          <cell r="CQ29">
            <v>1.5005213397630631E-2</v>
          </cell>
          <cell r="CR29">
            <v>8.772710904008019E-3</v>
          </cell>
          <cell r="CS29">
            <v>1.3768828773106756E-2</v>
          </cell>
          <cell r="CT29">
            <v>6.7776357144354081E-3</v>
          </cell>
          <cell r="CU29">
            <v>1.6505734737393696E-2</v>
          </cell>
          <cell r="CV29">
            <v>1.0339266422580883E-2</v>
          </cell>
          <cell r="CW29">
            <v>1.2026650438550392E-2</v>
          </cell>
          <cell r="CX29">
            <v>7.0417724296745979E-3</v>
          </cell>
          <cell r="CY29">
            <v>1.1015063018485404E-2</v>
          </cell>
          <cell r="CZ29">
            <v>5.4288524876820931E-3</v>
          </cell>
          <cell r="DA29">
            <v>1.2026650438550392E-2</v>
          </cell>
          <cell r="DB29">
            <v>7.0417724296745979E-3</v>
          </cell>
          <cell r="DC29">
            <v>1.1015063018485404E-2</v>
          </cell>
          <cell r="DD29">
            <v>5.4288524876820931E-3</v>
          </cell>
          <cell r="DE29">
            <v>1.38E-2</v>
          </cell>
          <cell r="DF29">
            <v>1.03E-2</v>
          </cell>
          <cell r="DG29">
            <v>1.21E-2</v>
          </cell>
          <cell r="DH29">
            <v>8.6E-3</v>
          </cell>
          <cell r="DI29">
            <v>1.83E-2</v>
          </cell>
          <cell r="DJ29">
            <v>1.4800000000000001E-2</v>
          </cell>
          <cell r="DK29">
            <v>1.61E-2</v>
          </cell>
          <cell r="DL29">
            <v>1.26E-2</v>
          </cell>
          <cell r="DM29">
            <v>1.38E-2</v>
          </cell>
          <cell r="DN29">
            <v>1.03E-2</v>
          </cell>
          <cell r="DO29">
            <v>1.21E-2</v>
          </cell>
          <cell r="DP29">
            <v>8.6E-3</v>
          </cell>
          <cell r="DQ29">
            <v>1.38E-2</v>
          </cell>
          <cell r="DR29">
            <v>1.03E-2</v>
          </cell>
          <cell r="DS29">
            <v>1.21E-2</v>
          </cell>
          <cell r="DT29">
            <v>8.6E-3</v>
          </cell>
          <cell r="DU29">
            <v>1.0999999999999999E-2</v>
          </cell>
          <cell r="DV29">
            <v>7.4000000000000003E-3</v>
          </cell>
          <cell r="DW29">
            <v>9.7000000000000003E-3</v>
          </cell>
          <cell r="DX29">
            <v>6.1000000000000004E-3</v>
          </cell>
          <cell r="DY29">
            <v>1.21E-2</v>
          </cell>
          <cell r="DZ29">
            <v>8.9999999999999993E-3</v>
          </cell>
          <cell r="EA29">
            <v>9.1999999999999998E-3</v>
          </cell>
          <cell r="EB29">
            <v>6.1999999999999998E-3</v>
          </cell>
          <cell r="EC29">
            <v>8.0999999999999996E-3</v>
          </cell>
          <cell r="ED29">
            <v>5.1000000000000004E-3</v>
          </cell>
          <cell r="EE29">
            <v>9.1999999999999998E-3</v>
          </cell>
          <cell r="EF29">
            <v>6.1999999999999998E-3</v>
          </cell>
          <cell r="EG29">
            <v>8.0999999999999996E-3</v>
          </cell>
          <cell r="EH29">
            <v>5.1000000000000004E-3</v>
          </cell>
          <cell r="EI29">
            <v>2.4400000000000002E-2</v>
          </cell>
          <cell r="EJ29">
            <v>2.0899999999999998E-2</v>
          </cell>
          <cell r="EK29">
            <v>2.1499999999999998E-2</v>
          </cell>
          <cell r="EL29">
            <v>1.7999999999999999E-2</v>
          </cell>
          <cell r="EM29">
            <v>1.38E-2</v>
          </cell>
          <cell r="EN29">
            <v>1.03E-2</v>
          </cell>
          <cell r="EO29">
            <v>1.21E-2</v>
          </cell>
          <cell r="EP29">
            <v>8.6E-3</v>
          </cell>
          <cell r="EQ29">
            <v>1.38E-2</v>
          </cell>
          <cell r="ER29">
            <v>1.03E-2</v>
          </cell>
          <cell r="ES29">
            <v>1.21E-2</v>
          </cell>
          <cell r="ET29">
            <v>8.6E-3</v>
          </cell>
          <cell r="EU29">
            <v>1.0999999999999999E-2</v>
          </cell>
          <cell r="EV29">
            <v>7.4000000000000003E-3</v>
          </cell>
          <cell r="EW29">
            <v>9.7000000000000003E-3</v>
          </cell>
          <cell r="EX29">
            <v>6.1000000000000004E-3</v>
          </cell>
          <cell r="EY29">
            <v>1.21E-2</v>
          </cell>
          <cell r="EZ29">
            <v>8.9999999999999993E-3</v>
          </cell>
          <cell r="FA29">
            <v>9.1999999999999998E-3</v>
          </cell>
          <cell r="FB29">
            <v>6.1999999999999998E-3</v>
          </cell>
          <cell r="FC29">
            <v>8.0999999999999996E-3</v>
          </cell>
          <cell r="FD29">
            <v>5.1000000000000004E-3</v>
          </cell>
          <cell r="FE29">
            <v>9.1999999999999998E-3</v>
          </cell>
          <cell r="FF29">
            <v>6.1999999999999998E-3</v>
          </cell>
          <cell r="FG29">
            <v>8.0999999999999996E-3</v>
          </cell>
          <cell r="FH29">
            <v>5.1000000000000004E-3</v>
          </cell>
          <cell r="FI29">
            <v>2.76E-2</v>
          </cell>
          <cell r="FJ29">
            <v>2.4E-2</v>
          </cell>
          <cell r="FK29">
            <v>2.47E-2</v>
          </cell>
          <cell r="FL29">
            <v>2.1100000000000001E-2</v>
          </cell>
          <cell r="FM29">
            <v>2.76E-2</v>
          </cell>
          <cell r="FN29">
            <v>2.4E-2</v>
          </cell>
          <cell r="FO29">
            <v>2.47E-2</v>
          </cell>
          <cell r="FP29">
            <v>2.1100000000000001E-2</v>
          </cell>
          <cell r="FQ29">
            <v>1.46E-2</v>
          </cell>
          <cell r="FR29">
            <v>1.14E-2</v>
          </cell>
          <cell r="FS29">
            <v>1.2200000000000001E-2</v>
          </cell>
          <cell r="FT29">
            <v>8.3999999999999995E-3</v>
          </cell>
          <cell r="FU29">
            <v>1.6E-2</v>
          </cell>
          <cell r="FV29">
            <v>1.1900000000000001E-2</v>
          </cell>
          <cell r="FW29">
            <v>1.26E-2</v>
          </cell>
          <cell r="FX29">
            <v>9.9000000000000008E-3</v>
          </cell>
          <cell r="FY29">
            <v>1.0500000000000001E-2</v>
          </cell>
          <cell r="FZ29">
            <v>7.1999999999999998E-3</v>
          </cell>
          <cell r="GA29">
            <v>1.26E-2</v>
          </cell>
          <cell r="GB29">
            <v>9.9000000000000008E-3</v>
          </cell>
          <cell r="GC29">
            <v>1.0500000000000001E-2</v>
          </cell>
          <cell r="GD29">
            <v>7.1999999999999998E-3</v>
          </cell>
          <cell r="GE29">
            <v>2.18E-2</v>
          </cell>
          <cell r="GF29">
            <v>1.9300000000000001E-2</v>
          </cell>
          <cell r="GG29">
            <v>1.9799999999999998E-2</v>
          </cell>
          <cell r="GH29">
            <v>1.6299999999999999E-2</v>
          </cell>
          <cell r="GI29">
            <v>2.18E-2</v>
          </cell>
          <cell r="GJ29">
            <v>1.9300000000000001E-2</v>
          </cell>
          <cell r="GK29">
            <v>1.9799999999999998E-2</v>
          </cell>
          <cell r="GL29">
            <v>1.6299999999999999E-2</v>
          </cell>
          <cell r="GM29">
            <v>1.46E-2</v>
          </cell>
          <cell r="GN29">
            <v>1.0999999999999999E-2</v>
          </cell>
          <cell r="GO29">
            <v>1.2200000000000001E-2</v>
          </cell>
          <cell r="GP29">
            <v>8.0000000000000002E-3</v>
          </cell>
          <cell r="GQ29">
            <v>1.6E-2</v>
          </cell>
          <cell r="GR29">
            <v>1.14E-2</v>
          </cell>
          <cell r="GS29">
            <v>1.8499999999999999E-2</v>
          </cell>
          <cell r="GT29">
            <v>1.3299999999999999E-2</v>
          </cell>
          <cell r="GU29">
            <v>1.7600000000000001E-2</v>
          </cell>
          <cell r="GV29">
            <v>1.09E-2</v>
          </cell>
          <cell r="GW29">
            <v>1.8499999999999999E-2</v>
          </cell>
          <cell r="GX29">
            <v>1.3299999999999999E-2</v>
          </cell>
          <cell r="GY29">
            <v>1.7600000000000001E-2</v>
          </cell>
          <cell r="GZ29">
            <v>1.09E-2</v>
          </cell>
          <cell r="HA29">
            <v>2.18E-2</v>
          </cell>
          <cell r="HB29">
            <v>1.9300000000000001E-2</v>
          </cell>
          <cell r="HC29">
            <v>1.9799999999999998E-2</v>
          </cell>
          <cell r="HD29">
            <v>1.6299999999999999E-2</v>
          </cell>
          <cell r="HE29">
            <v>2.18E-2</v>
          </cell>
          <cell r="HF29">
            <v>1.9300000000000001E-2</v>
          </cell>
          <cell r="HG29">
            <v>1.9799999999999998E-2</v>
          </cell>
          <cell r="HH29">
            <v>1.6299999999999999E-2</v>
          </cell>
          <cell r="HI29">
            <v>1.46E-2</v>
          </cell>
          <cell r="HJ29">
            <v>1.0999999999999999E-2</v>
          </cell>
          <cell r="HK29">
            <v>1.2200000000000001E-2</v>
          </cell>
          <cell r="HL29">
            <v>8.0000000000000002E-3</v>
          </cell>
          <cell r="HM29">
            <v>1.6E-2</v>
          </cell>
          <cell r="HN29">
            <v>1.14E-2</v>
          </cell>
          <cell r="HO29">
            <v>1.26E-2</v>
          </cell>
          <cell r="HP29">
            <v>9.4999999999999998E-3</v>
          </cell>
          <cell r="HQ29">
            <v>1.0500000000000001E-2</v>
          </cell>
          <cell r="HR29">
            <v>7.0000000000000001E-3</v>
          </cell>
          <cell r="HS29">
            <v>1.26E-2</v>
          </cell>
          <cell r="HT29">
            <v>9.4999999999999998E-3</v>
          </cell>
          <cell r="HU29">
            <v>1.0500000000000001E-2</v>
          </cell>
          <cell r="HV29">
            <v>7.0000000000000001E-3</v>
          </cell>
          <cell r="HW29" t="str">
            <v>%PPL</v>
          </cell>
        </row>
        <row r="30">
          <cell r="AC30" t="str">
            <v>MTD-GPP 3.0 PPA DIS (Distributor) w DMA</v>
          </cell>
          <cell r="AD30" t="str">
            <v>PMA - Nokia Brand (NBOS)</v>
          </cell>
          <cell r="AE30">
            <v>0.1</v>
          </cell>
          <cell r="AF30" t="str">
            <v>MTD-GPP 3.0 PPA DIS (Distributor) w DMA-PMA - Nokia Brand (NBOS)</v>
          </cell>
          <cell r="AG30" t="str">
            <v>PMA_NBOS</v>
          </cell>
          <cell r="AK30" t="str">
            <v>NAR-PMA_PL</v>
          </cell>
          <cell r="AL30" t="str">
            <v>NAR_PL_TS_RFE</v>
          </cell>
          <cell r="AM30" t="str">
            <v>NAR_PL_TS_RFE_FY</v>
          </cell>
          <cell r="AN30" t="str">
            <v>NAR_PL_TS_RFR</v>
          </cell>
          <cell r="AO30" t="str">
            <v>NAR_PL_TS_RFR_FY</v>
          </cell>
          <cell r="AV30" t="str">
            <v>7750 ESA</v>
          </cell>
          <cell r="AW30">
            <v>0.75</v>
          </cell>
          <cell r="AX30">
            <v>0.65</v>
          </cell>
          <cell r="AY30">
            <v>0.7</v>
          </cell>
          <cell r="AZ30">
            <v>0.5</v>
          </cell>
          <cell r="BA30">
            <v>0.5</v>
          </cell>
          <cell r="BB30">
            <v>0.5</v>
          </cell>
          <cell r="BC30">
            <v>0.5</v>
          </cell>
          <cell r="BD30">
            <v>0.5</v>
          </cell>
          <cell r="BE30">
            <v>0.5</v>
          </cell>
          <cell r="BF30">
            <v>0.7</v>
          </cell>
          <cell r="BG30">
            <v>0.7</v>
          </cell>
          <cell r="BH30">
            <v>0.7</v>
          </cell>
          <cell r="BI30">
            <v>0.73</v>
          </cell>
          <cell r="BJ30">
            <v>0.55000000000000004</v>
          </cell>
          <cell r="BK30">
            <v>2.5000000000000001E-2</v>
          </cell>
          <cell r="BL30" t="str">
            <v>%PMP</v>
          </cell>
          <cell r="BM30">
            <v>1.4E-2</v>
          </cell>
          <cell r="BN30">
            <v>1.0500000000000001E-2</v>
          </cell>
          <cell r="BO30">
            <v>1.06E-2</v>
          </cell>
          <cell r="BP30">
            <v>7.1000000000000004E-3</v>
          </cell>
          <cell r="BQ30">
            <v>1.4E-2</v>
          </cell>
          <cell r="BR30">
            <v>1.0500000000000001E-2</v>
          </cell>
          <cell r="BS30">
            <v>1.06E-2</v>
          </cell>
          <cell r="BT30">
            <v>7.1000000000000004E-3</v>
          </cell>
          <cell r="BU30">
            <v>1.1200000000000002E-2</v>
          </cell>
          <cell r="BV30">
            <v>5.8800000000000007E-3</v>
          </cell>
          <cell r="BW30">
            <v>8.4799999999999997E-3</v>
          </cell>
          <cell r="BX30">
            <v>3.4080000000000004E-3</v>
          </cell>
          <cell r="BY30">
            <v>1.2320000000000003E-2</v>
          </cell>
          <cell r="BZ30">
            <v>6.9300000000000013E-3</v>
          </cell>
          <cell r="CA30">
            <v>8.9600000000000009E-3</v>
          </cell>
          <cell r="CB30">
            <v>4.7039999999999998E-3</v>
          </cell>
          <cell r="CC30">
            <v>6.7840000000000001E-3</v>
          </cell>
          <cell r="CD30">
            <v>2.7263999999999999E-3</v>
          </cell>
          <cell r="CE30">
            <v>8.9600000000000009E-3</v>
          </cell>
          <cell r="CF30">
            <v>4.7039999999999998E-3</v>
          </cell>
          <cell r="CG30">
            <v>6.7840000000000001E-3</v>
          </cell>
          <cell r="CH30">
            <v>2.7263999999999999E-3</v>
          </cell>
          <cell r="CI30">
            <v>1.3100000000000001E-2</v>
          </cell>
          <cell r="CJ30">
            <v>9.6000000000000009E-3</v>
          </cell>
          <cell r="CK30">
            <v>1.18E-2</v>
          </cell>
          <cell r="CL30">
            <v>8.3000000000000001E-3</v>
          </cell>
          <cell r="CM30">
            <v>1.3100000000000001E-2</v>
          </cell>
          <cell r="CN30">
            <v>9.6000000000000009E-3</v>
          </cell>
          <cell r="CO30">
            <v>1.18E-2</v>
          </cell>
          <cell r="CP30">
            <v>8.3000000000000001E-3</v>
          </cell>
          <cell r="CQ30">
            <v>1.0063256512499504E-2</v>
          </cell>
          <cell r="CR30">
            <v>4.9991661384674946E-3</v>
          </cell>
          <cell r="CS30">
            <v>8.6349233300802193E-3</v>
          </cell>
          <cell r="CT30">
            <v>3.46695417914499E-3</v>
          </cell>
          <cell r="CU30">
            <v>1.1069582163749456E-2</v>
          </cell>
          <cell r="CV30">
            <v>5.8918743774795477E-3</v>
          </cell>
          <cell r="CW30">
            <v>8.0506052099996034E-3</v>
          </cell>
          <cell r="CX30">
            <v>4.0447798756691553E-3</v>
          </cell>
          <cell r="CY30">
            <v>6.8819689698383707E-3</v>
          </cell>
          <cell r="CZ30">
            <v>2.7657724350482506E-3</v>
          </cell>
          <cell r="DA30">
            <v>8.0506052099996034E-3</v>
          </cell>
          <cell r="DB30">
            <v>4.0447798756691553E-3</v>
          </cell>
          <cell r="DC30">
            <v>6.8819689698383707E-3</v>
          </cell>
          <cell r="DD30">
            <v>2.7657724350482506E-3</v>
          </cell>
          <cell r="DE30">
            <v>1.0999999999999999E-2</v>
          </cell>
          <cell r="DF30">
            <v>7.4999999999999997E-3</v>
          </cell>
          <cell r="DG30">
            <v>9.7000000000000003E-3</v>
          </cell>
          <cell r="DH30">
            <v>6.1999999999999998E-3</v>
          </cell>
          <cell r="DI30">
            <v>1.83E-2</v>
          </cell>
          <cell r="DJ30">
            <v>1.4800000000000001E-2</v>
          </cell>
          <cell r="DK30">
            <v>1.61E-2</v>
          </cell>
          <cell r="DL30">
            <v>1.26E-2</v>
          </cell>
          <cell r="DM30">
            <v>1.0999999999999999E-2</v>
          </cell>
          <cell r="DN30">
            <v>7.5000000000000006E-3</v>
          </cell>
          <cell r="DO30">
            <v>9.6999999999999986E-3</v>
          </cell>
          <cell r="DP30">
            <v>6.2000000000000006E-3</v>
          </cell>
          <cell r="DQ30">
            <v>1.0999999999999999E-2</v>
          </cell>
          <cell r="DR30">
            <v>7.5000000000000006E-3</v>
          </cell>
          <cell r="DS30">
            <v>9.6999999999999986E-3</v>
          </cell>
          <cell r="DT30">
            <v>6.2000000000000006E-3</v>
          </cell>
          <cell r="DU30">
            <v>8.8000000000000005E-3</v>
          </cell>
          <cell r="DV30">
            <v>5.4000000000000003E-3</v>
          </cell>
          <cell r="DW30">
            <v>7.7999999999999996E-3</v>
          </cell>
          <cell r="DX30">
            <v>4.0000000000000001E-3</v>
          </cell>
          <cell r="DY30">
            <v>9.7000000000000003E-3</v>
          </cell>
          <cell r="DZ30">
            <v>6.0000000000000001E-3</v>
          </cell>
          <cell r="EA30">
            <v>7.3000000000000001E-3</v>
          </cell>
          <cell r="EB30">
            <v>4.4999999999999997E-3</v>
          </cell>
          <cell r="EC30">
            <v>6.4999999999999997E-3</v>
          </cell>
          <cell r="ED30">
            <v>3.3E-3</v>
          </cell>
          <cell r="EE30">
            <v>7.3000000000000001E-3</v>
          </cell>
          <cell r="EF30">
            <v>4.4999999999999997E-3</v>
          </cell>
          <cell r="EG30">
            <v>6.4999999999999997E-3</v>
          </cell>
          <cell r="EH30">
            <v>3.3E-3</v>
          </cell>
          <cell r="EI30">
            <v>1.83E-2</v>
          </cell>
          <cell r="EJ30">
            <v>1.4800000000000001E-2</v>
          </cell>
          <cell r="EK30">
            <v>1.61E-2</v>
          </cell>
          <cell r="EL30">
            <v>1.26E-2</v>
          </cell>
          <cell r="EM30">
            <v>1.0999999999999999E-2</v>
          </cell>
          <cell r="EN30">
            <v>7.5000000000000006E-3</v>
          </cell>
          <cell r="EO30">
            <v>9.6999999999999986E-3</v>
          </cell>
          <cell r="EP30">
            <v>6.2000000000000006E-3</v>
          </cell>
          <cell r="EQ30">
            <v>1.0999999999999999E-2</v>
          </cell>
          <cell r="ER30">
            <v>7.5000000000000006E-3</v>
          </cell>
          <cell r="ES30">
            <v>9.6999999999999986E-3</v>
          </cell>
          <cell r="ET30">
            <v>6.2000000000000006E-3</v>
          </cell>
          <cell r="EU30">
            <v>8.8000000000000005E-3</v>
          </cell>
          <cell r="EV30">
            <v>5.4000000000000003E-3</v>
          </cell>
          <cell r="EW30">
            <v>7.7999999999999996E-3</v>
          </cell>
          <cell r="EX30">
            <v>4.0000000000000001E-3</v>
          </cell>
          <cell r="EY30">
            <v>9.7000000000000003E-3</v>
          </cell>
          <cell r="EZ30">
            <v>6.0000000000000001E-3</v>
          </cell>
          <cell r="FA30">
            <v>7.3000000000000001E-3</v>
          </cell>
          <cell r="FB30">
            <v>4.4999999999999997E-3</v>
          </cell>
          <cell r="FC30">
            <v>6.4999999999999997E-3</v>
          </cell>
          <cell r="FD30">
            <v>3.3E-3</v>
          </cell>
          <cell r="FE30">
            <v>7.3000000000000001E-3</v>
          </cell>
          <cell r="FF30">
            <v>4.4999999999999997E-3</v>
          </cell>
          <cell r="FG30">
            <v>6.4999999999999997E-3</v>
          </cell>
          <cell r="FH30">
            <v>3.3E-3</v>
          </cell>
          <cell r="FI30">
            <v>2.76E-2</v>
          </cell>
          <cell r="FJ30">
            <v>2.4E-2</v>
          </cell>
          <cell r="FK30">
            <v>2.47E-2</v>
          </cell>
          <cell r="FL30">
            <v>2.1100000000000001E-2</v>
          </cell>
          <cell r="FM30">
            <v>2.76E-2</v>
          </cell>
          <cell r="FN30">
            <v>2.4E-2</v>
          </cell>
          <cell r="FO30">
            <v>2.47E-2</v>
          </cell>
          <cell r="FP30">
            <v>2.1100000000000001E-2</v>
          </cell>
          <cell r="FQ30">
            <v>1.11E-2</v>
          </cell>
          <cell r="FR30">
            <v>8.8000000000000005E-3</v>
          </cell>
          <cell r="FS30">
            <v>8.3999999999999995E-3</v>
          </cell>
          <cell r="FT30">
            <v>5.7999999999999996E-3</v>
          </cell>
          <cell r="FU30">
            <v>1.23E-2</v>
          </cell>
          <cell r="FV30">
            <v>9.1000000000000004E-3</v>
          </cell>
          <cell r="FW30">
            <v>9.7000000000000003E-3</v>
          </cell>
          <cell r="FX30">
            <v>7.6E-3</v>
          </cell>
          <cell r="FY30">
            <v>7.3000000000000001E-3</v>
          </cell>
          <cell r="FZ30">
            <v>5.0000000000000001E-3</v>
          </cell>
          <cell r="GA30">
            <v>9.7000000000000003E-3</v>
          </cell>
          <cell r="GB30">
            <v>7.6E-3</v>
          </cell>
          <cell r="GC30">
            <v>7.3000000000000001E-3</v>
          </cell>
          <cell r="GD30">
            <v>5.0000000000000001E-3</v>
          </cell>
          <cell r="GE30">
            <v>2.18E-2</v>
          </cell>
          <cell r="GF30">
            <v>1.9300000000000001E-2</v>
          </cell>
          <cell r="GG30">
            <v>1.9799999999999998E-2</v>
          </cell>
          <cell r="GH30">
            <v>1.6299999999999999E-2</v>
          </cell>
          <cell r="GI30">
            <v>2.18E-2</v>
          </cell>
          <cell r="GJ30">
            <v>1.9300000000000001E-2</v>
          </cell>
          <cell r="GK30">
            <v>1.9799999999999998E-2</v>
          </cell>
          <cell r="GL30">
            <v>1.6299999999999999E-2</v>
          </cell>
          <cell r="GM30">
            <v>1.11E-2</v>
          </cell>
          <cell r="GN30">
            <v>8.3999999999999995E-3</v>
          </cell>
          <cell r="GO30">
            <v>8.3999999999999995E-3</v>
          </cell>
          <cell r="GP30">
            <v>5.5999999999999999E-3</v>
          </cell>
          <cell r="GQ30">
            <v>1.23E-2</v>
          </cell>
          <cell r="GR30">
            <v>8.8000000000000005E-3</v>
          </cell>
          <cell r="GS30">
            <v>9.7000000000000003E-3</v>
          </cell>
          <cell r="GT30">
            <v>7.3000000000000001E-3</v>
          </cell>
          <cell r="GU30">
            <v>7.3000000000000001E-3</v>
          </cell>
          <cell r="GV30">
            <v>4.7999999999999996E-3</v>
          </cell>
          <cell r="GW30">
            <v>9.7000000000000003E-3</v>
          </cell>
          <cell r="GX30">
            <v>7.3000000000000001E-3</v>
          </cell>
          <cell r="GY30">
            <v>7.3000000000000001E-3</v>
          </cell>
          <cell r="GZ30">
            <v>4.7999999999999996E-3</v>
          </cell>
          <cell r="HA30">
            <v>2.18E-2</v>
          </cell>
          <cell r="HB30">
            <v>1.9300000000000001E-2</v>
          </cell>
          <cell r="HC30">
            <v>1.9799999999999998E-2</v>
          </cell>
          <cell r="HD30">
            <v>1.6299999999999999E-2</v>
          </cell>
          <cell r="HE30">
            <v>2.18E-2</v>
          </cell>
          <cell r="HF30">
            <v>1.9300000000000001E-2</v>
          </cell>
          <cell r="HG30">
            <v>1.9799999999999998E-2</v>
          </cell>
          <cell r="HH30">
            <v>1.6299999999999999E-2</v>
          </cell>
          <cell r="HI30">
            <v>1.11E-2</v>
          </cell>
          <cell r="HJ30">
            <v>8.2000000000000007E-3</v>
          </cell>
          <cell r="HK30">
            <v>8.3999999999999995E-3</v>
          </cell>
          <cell r="HL30">
            <v>5.4000000000000003E-3</v>
          </cell>
          <cell r="HM30">
            <v>1.23E-2</v>
          </cell>
          <cell r="HN30">
            <v>8.6E-3</v>
          </cell>
          <cell r="HO30">
            <v>9.7000000000000003E-3</v>
          </cell>
          <cell r="HP30">
            <v>7.1000000000000004E-3</v>
          </cell>
          <cell r="HQ30">
            <v>7.3000000000000001E-3</v>
          </cell>
          <cell r="HR30">
            <v>4.7000000000000002E-3</v>
          </cell>
          <cell r="HS30">
            <v>9.7000000000000003E-3</v>
          </cell>
          <cell r="HT30">
            <v>7.1000000000000004E-3</v>
          </cell>
          <cell r="HU30">
            <v>7.3000000000000001E-3</v>
          </cell>
          <cell r="HV30">
            <v>4.7000000000000002E-3</v>
          </cell>
          <cell r="HW30" t="str">
            <v>%PPL</v>
          </cell>
        </row>
        <row r="31">
          <cell r="AC31" t="str">
            <v>MTD-GPP 3.0 PPA DIS (Distributor) w DMA</v>
          </cell>
          <cell r="AD31" t="str">
            <v>PMA - Co-Brand (L1)</v>
          </cell>
          <cell r="AE31">
            <v>0.14000000000000001</v>
          </cell>
          <cell r="AF31" t="str">
            <v>MTD-GPP 3.0 PPA DIS (Distributor) w DMA-PMA - Co-Brand (L1)</v>
          </cell>
          <cell r="AG31" t="str">
            <v>PMA_COP</v>
          </cell>
          <cell r="AK31" t="str">
            <v>CALA-PMA_PL</v>
          </cell>
          <cell r="AL31" t="str">
            <v>CALA_PL_TS_RFE</v>
          </cell>
          <cell r="AM31" t="str">
            <v>CALA_PL_TS_RFE_FY</v>
          </cell>
          <cell r="AN31" t="str">
            <v>CALA_PL_TS_RFR</v>
          </cell>
          <cell r="AO31" t="str">
            <v>CALA_PL_TS_RFR_FY</v>
          </cell>
          <cell r="AV31" t="str">
            <v>7750 IOM4-e L2HQ</v>
          </cell>
          <cell r="AW31">
            <v>0.8</v>
          </cell>
          <cell r="AX31">
            <v>0.7</v>
          </cell>
          <cell r="AY31">
            <v>0.75</v>
          </cell>
          <cell r="AZ31">
            <v>0.75</v>
          </cell>
          <cell r="BA31">
            <v>0.71299999999999997</v>
          </cell>
          <cell r="BB31">
            <v>0.75</v>
          </cell>
          <cell r="BC31">
            <v>0.75</v>
          </cell>
          <cell r="BD31">
            <v>0.71299999999999997</v>
          </cell>
          <cell r="BE31">
            <v>0.75</v>
          </cell>
          <cell r="BF31">
            <v>0.8</v>
          </cell>
          <cell r="BG31">
            <v>0.75</v>
          </cell>
          <cell r="BH31">
            <v>0.75</v>
          </cell>
          <cell r="BI31">
            <v>0.82</v>
          </cell>
          <cell r="BJ31">
            <v>0.6</v>
          </cell>
          <cell r="BK31">
            <v>2.5000000000000001E-2</v>
          </cell>
          <cell r="BL31" t="str">
            <v>%PMP</v>
          </cell>
          <cell r="BM31">
            <v>1.4E-2</v>
          </cell>
          <cell r="BN31">
            <v>1.0500000000000001E-2</v>
          </cell>
          <cell r="BO31">
            <v>1.06E-2</v>
          </cell>
          <cell r="BP31">
            <v>7.1000000000000004E-3</v>
          </cell>
          <cell r="BQ31">
            <v>1.4E-2</v>
          </cell>
          <cell r="BR31">
            <v>1.0500000000000001E-2</v>
          </cell>
          <cell r="BS31">
            <v>1.06E-2</v>
          </cell>
          <cell r="BT31">
            <v>7.1000000000000004E-3</v>
          </cell>
          <cell r="BU31">
            <v>1.1200000000000002E-2</v>
          </cell>
          <cell r="BV31">
            <v>5.8800000000000007E-3</v>
          </cell>
          <cell r="BW31">
            <v>8.4799999999999997E-3</v>
          </cell>
          <cell r="BX31">
            <v>3.4080000000000004E-3</v>
          </cell>
          <cell r="BY31">
            <v>1.2320000000000003E-2</v>
          </cell>
          <cell r="BZ31">
            <v>6.9300000000000013E-3</v>
          </cell>
          <cell r="CA31">
            <v>8.9600000000000009E-3</v>
          </cell>
          <cell r="CB31">
            <v>4.7039999999999998E-3</v>
          </cell>
          <cell r="CC31">
            <v>6.7840000000000001E-3</v>
          </cell>
          <cell r="CD31">
            <v>2.7263999999999999E-3</v>
          </cell>
          <cell r="CE31">
            <v>8.9600000000000009E-3</v>
          </cell>
          <cell r="CF31">
            <v>4.7039999999999998E-3</v>
          </cell>
          <cell r="CG31">
            <v>6.7840000000000001E-3</v>
          </cell>
          <cell r="CH31">
            <v>2.7263999999999999E-3</v>
          </cell>
          <cell r="CI31">
            <v>1.3100000000000001E-2</v>
          </cell>
          <cell r="CJ31">
            <v>9.6000000000000009E-3</v>
          </cell>
          <cell r="CK31">
            <v>1.18E-2</v>
          </cell>
          <cell r="CL31">
            <v>8.3000000000000001E-3</v>
          </cell>
          <cell r="CM31">
            <v>1.3100000000000001E-2</v>
          </cell>
          <cell r="CN31">
            <v>9.6000000000000009E-3</v>
          </cell>
          <cell r="CO31">
            <v>1.18E-2</v>
          </cell>
          <cell r="CP31">
            <v>8.3000000000000001E-3</v>
          </cell>
          <cell r="CQ31">
            <v>1.0063256512499504E-2</v>
          </cell>
          <cell r="CR31">
            <v>4.9991661384674946E-3</v>
          </cell>
          <cell r="CS31">
            <v>8.6349233300802193E-3</v>
          </cell>
          <cell r="CT31">
            <v>3.46695417914499E-3</v>
          </cell>
          <cell r="CU31">
            <v>1.1069582163749456E-2</v>
          </cell>
          <cell r="CV31">
            <v>5.8918743774795477E-3</v>
          </cell>
          <cell r="CW31">
            <v>8.0506052099996034E-3</v>
          </cell>
          <cell r="CX31">
            <v>4.0447798756691553E-3</v>
          </cell>
          <cell r="CY31">
            <v>6.8819689698383707E-3</v>
          </cell>
          <cell r="CZ31">
            <v>2.7657724350482506E-3</v>
          </cell>
          <cell r="DA31">
            <v>8.0506052099996034E-3</v>
          </cell>
          <cell r="DB31">
            <v>4.0447798756691553E-3</v>
          </cell>
          <cell r="DC31">
            <v>6.8819689698383707E-3</v>
          </cell>
          <cell r="DD31">
            <v>2.7657724350482506E-3</v>
          </cell>
          <cell r="DE31">
            <v>1.0999999999999999E-2</v>
          </cell>
          <cell r="DF31">
            <v>7.4999999999999997E-3</v>
          </cell>
          <cell r="DG31">
            <v>9.7000000000000003E-3</v>
          </cell>
          <cell r="DH31">
            <v>6.1999999999999998E-3</v>
          </cell>
          <cell r="DI31">
            <v>1.83E-2</v>
          </cell>
          <cell r="DJ31">
            <v>1.4800000000000001E-2</v>
          </cell>
          <cell r="DK31">
            <v>1.61E-2</v>
          </cell>
          <cell r="DL31">
            <v>1.26E-2</v>
          </cell>
          <cell r="DM31">
            <v>1.0999999999999999E-2</v>
          </cell>
          <cell r="DN31">
            <v>7.5000000000000006E-3</v>
          </cell>
          <cell r="DO31">
            <v>9.6999999999999986E-3</v>
          </cell>
          <cell r="DP31">
            <v>6.2000000000000006E-3</v>
          </cell>
          <cell r="DQ31">
            <v>1.0999999999999999E-2</v>
          </cell>
          <cell r="DR31">
            <v>7.5000000000000006E-3</v>
          </cell>
          <cell r="DS31">
            <v>9.6999999999999986E-3</v>
          </cell>
          <cell r="DT31">
            <v>6.2000000000000006E-3</v>
          </cell>
          <cell r="DU31">
            <v>8.8000000000000005E-3</v>
          </cell>
          <cell r="DV31">
            <v>5.4000000000000003E-3</v>
          </cell>
          <cell r="DW31">
            <v>7.7999999999999996E-3</v>
          </cell>
          <cell r="DX31">
            <v>4.0000000000000001E-3</v>
          </cell>
          <cell r="DY31">
            <v>9.7000000000000003E-3</v>
          </cell>
          <cell r="DZ31">
            <v>6.0000000000000001E-3</v>
          </cell>
          <cell r="EA31">
            <v>7.3000000000000001E-3</v>
          </cell>
          <cell r="EB31">
            <v>4.4999999999999997E-3</v>
          </cell>
          <cell r="EC31">
            <v>6.4999999999999997E-3</v>
          </cell>
          <cell r="ED31">
            <v>3.3E-3</v>
          </cell>
          <cell r="EE31">
            <v>7.3000000000000001E-3</v>
          </cell>
          <cell r="EF31">
            <v>4.4999999999999997E-3</v>
          </cell>
          <cell r="EG31">
            <v>6.4999999999999997E-3</v>
          </cell>
          <cell r="EH31">
            <v>3.3E-3</v>
          </cell>
          <cell r="EI31">
            <v>1.83E-2</v>
          </cell>
          <cell r="EJ31">
            <v>1.4800000000000001E-2</v>
          </cell>
          <cell r="EK31">
            <v>1.61E-2</v>
          </cell>
          <cell r="EL31">
            <v>1.26E-2</v>
          </cell>
          <cell r="EM31">
            <v>1.0999999999999999E-2</v>
          </cell>
          <cell r="EN31">
            <v>7.5000000000000006E-3</v>
          </cell>
          <cell r="EO31">
            <v>9.6999999999999986E-3</v>
          </cell>
          <cell r="EP31">
            <v>6.2000000000000006E-3</v>
          </cell>
          <cell r="EQ31">
            <v>1.0999999999999999E-2</v>
          </cell>
          <cell r="ER31">
            <v>7.5000000000000006E-3</v>
          </cell>
          <cell r="ES31">
            <v>9.6999999999999986E-3</v>
          </cell>
          <cell r="ET31">
            <v>6.2000000000000006E-3</v>
          </cell>
          <cell r="EU31">
            <v>8.8000000000000005E-3</v>
          </cell>
          <cell r="EV31">
            <v>5.4000000000000003E-3</v>
          </cell>
          <cell r="EW31">
            <v>7.7999999999999996E-3</v>
          </cell>
          <cell r="EX31">
            <v>4.0000000000000001E-3</v>
          </cell>
          <cell r="EY31">
            <v>9.7000000000000003E-3</v>
          </cell>
          <cell r="EZ31">
            <v>6.0000000000000001E-3</v>
          </cell>
          <cell r="FA31">
            <v>7.3000000000000001E-3</v>
          </cell>
          <cell r="FB31">
            <v>4.4999999999999997E-3</v>
          </cell>
          <cell r="FC31">
            <v>6.4999999999999997E-3</v>
          </cell>
          <cell r="FD31">
            <v>3.3E-3</v>
          </cell>
          <cell r="FE31">
            <v>7.3000000000000001E-3</v>
          </cell>
          <cell r="FF31">
            <v>4.4999999999999997E-3</v>
          </cell>
          <cell r="FG31">
            <v>6.4999999999999997E-3</v>
          </cell>
          <cell r="FH31">
            <v>3.3E-3</v>
          </cell>
          <cell r="FI31">
            <v>2.76E-2</v>
          </cell>
          <cell r="FJ31">
            <v>2.4E-2</v>
          </cell>
          <cell r="FK31">
            <v>2.47E-2</v>
          </cell>
          <cell r="FL31">
            <v>2.1100000000000001E-2</v>
          </cell>
          <cell r="FM31">
            <v>2.76E-2</v>
          </cell>
          <cell r="FN31">
            <v>2.4E-2</v>
          </cell>
          <cell r="FO31">
            <v>2.47E-2</v>
          </cell>
          <cell r="FP31">
            <v>2.1100000000000001E-2</v>
          </cell>
          <cell r="FQ31">
            <v>1.11E-2</v>
          </cell>
          <cell r="FR31">
            <v>8.8000000000000005E-3</v>
          </cell>
          <cell r="FS31">
            <v>8.3999999999999995E-3</v>
          </cell>
          <cell r="FT31">
            <v>5.7999999999999996E-3</v>
          </cell>
          <cell r="FU31">
            <v>1.23E-2</v>
          </cell>
          <cell r="FV31">
            <v>9.1000000000000004E-3</v>
          </cell>
          <cell r="FW31">
            <v>9.7000000000000003E-3</v>
          </cell>
          <cell r="FX31">
            <v>7.6E-3</v>
          </cell>
          <cell r="FY31">
            <v>7.3000000000000001E-3</v>
          </cell>
          <cell r="FZ31">
            <v>5.0000000000000001E-3</v>
          </cell>
          <cell r="GA31">
            <v>9.7000000000000003E-3</v>
          </cell>
          <cell r="GB31">
            <v>7.6E-3</v>
          </cell>
          <cell r="GC31">
            <v>7.3000000000000001E-3</v>
          </cell>
          <cell r="GD31">
            <v>5.0000000000000001E-3</v>
          </cell>
          <cell r="GE31">
            <v>2.18E-2</v>
          </cell>
          <cell r="GF31">
            <v>1.9300000000000001E-2</v>
          </cell>
          <cell r="GG31">
            <v>1.9799999999999998E-2</v>
          </cell>
          <cell r="GH31">
            <v>1.6299999999999999E-2</v>
          </cell>
          <cell r="GI31">
            <v>2.18E-2</v>
          </cell>
          <cell r="GJ31">
            <v>1.9300000000000001E-2</v>
          </cell>
          <cell r="GK31">
            <v>1.9799999999999998E-2</v>
          </cell>
          <cell r="GL31">
            <v>1.6299999999999999E-2</v>
          </cell>
          <cell r="GM31">
            <v>1.11E-2</v>
          </cell>
          <cell r="GN31">
            <v>8.3999999999999995E-3</v>
          </cell>
          <cell r="GO31">
            <v>8.3999999999999995E-3</v>
          </cell>
          <cell r="GP31">
            <v>5.5999999999999999E-3</v>
          </cell>
          <cell r="GQ31">
            <v>1.23E-2</v>
          </cell>
          <cell r="GR31">
            <v>8.8000000000000005E-3</v>
          </cell>
          <cell r="GS31">
            <v>9.7000000000000003E-3</v>
          </cell>
          <cell r="GT31">
            <v>7.3000000000000001E-3</v>
          </cell>
          <cell r="GU31">
            <v>7.3000000000000001E-3</v>
          </cell>
          <cell r="GV31">
            <v>4.7999999999999996E-3</v>
          </cell>
          <cell r="GW31">
            <v>9.7000000000000003E-3</v>
          </cell>
          <cell r="GX31">
            <v>7.3000000000000001E-3</v>
          </cell>
          <cell r="GY31">
            <v>7.3000000000000001E-3</v>
          </cell>
          <cell r="GZ31">
            <v>4.7999999999999996E-3</v>
          </cell>
          <cell r="HA31">
            <v>2.18E-2</v>
          </cell>
          <cell r="HB31">
            <v>1.9300000000000001E-2</v>
          </cell>
          <cell r="HC31">
            <v>1.9799999999999998E-2</v>
          </cell>
          <cell r="HD31">
            <v>1.6299999999999999E-2</v>
          </cell>
          <cell r="HE31">
            <v>2.18E-2</v>
          </cell>
          <cell r="HF31">
            <v>1.9300000000000001E-2</v>
          </cell>
          <cell r="HG31">
            <v>1.9799999999999998E-2</v>
          </cell>
          <cell r="HH31">
            <v>1.6299999999999999E-2</v>
          </cell>
          <cell r="HI31">
            <v>1.11E-2</v>
          </cell>
          <cell r="HJ31">
            <v>8.2000000000000007E-3</v>
          </cell>
          <cell r="HK31">
            <v>8.3999999999999995E-3</v>
          </cell>
          <cell r="HL31">
            <v>5.4000000000000003E-3</v>
          </cell>
          <cell r="HM31">
            <v>1.23E-2</v>
          </cell>
          <cell r="HN31">
            <v>8.6E-3</v>
          </cell>
          <cell r="HO31">
            <v>9.7000000000000003E-3</v>
          </cell>
          <cell r="HP31">
            <v>7.1000000000000004E-3</v>
          </cell>
          <cell r="HQ31">
            <v>7.3000000000000001E-3</v>
          </cell>
          <cell r="HR31">
            <v>4.7000000000000002E-3</v>
          </cell>
          <cell r="HS31">
            <v>9.7000000000000003E-3</v>
          </cell>
          <cell r="HT31">
            <v>7.1000000000000004E-3</v>
          </cell>
          <cell r="HU31">
            <v>7.3000000000000001E-3</v>
          </cell>
          <cell r="HV31">
            <v>4.7000000000000002E-3</v>
          </cell>
          <cell r="HW31" t="str">
            <v>%PPL</v>
          </cell>
        </row>
        <row r="32">
          <cell r="AC32" t="str">
            <v>MTD-GPP 3.0 PPA DIS (Distributor) w DMA</v>
          </cell>
          <cell r="AD32" t="str">
            <v>PMA - Partner Brand (L1&amp;L2)</v>
          </cell>
          <cell r="AE32">
            <v>0.24</v>
          </cell>
          <cell r="AF32" t="str">
            <v>MTD-GPP 3.0 PPA DIS (Distributor) w DMA-PMA - Partner Brand (L1&amp;L2)</v>
          </cell>
          <cell r="AG32" t="str">
            <v>PMA_PL</v>
          </cell>
          <cell r="AK32" t="str">
            <v>EUROPE-PMA_PL</v>
          </cell>
          <cell r="AL32" t="str">
            <v>New EUROPE_PL_TS_RFE</v>
          </cell>
          <cell r="AM32" t="str">
            <v>New EUROPE_PL_TS_RFE_FY</v>
          </cell>
          <cell r="AN32" t="str">
            <v>New EUROPE_PL_TS_RFR</v>
          </cell>
          <cell r="AO32" t="str">
            <v>New EUROPE_PL_TS_RFR_FY</v>
          </cell>
          <cell r="AV32" t="str">
            <v>7750 IOM4-e L3BQ</v>
          </cell>
          <cell r="AW32">
            <v>0.8</v>
          </cell>
          <cell r="AX32">
            <v>0.7</v>
          </cell>
          <cell r="AY32">
            <v>0.75</v>
          </cell>
          <cell r="AZ32">
            <v>0.75</v>
          </cell>
          <cell r="BA32">
            <v>0.71299999999999997</v>
          </cell>
          <cell r="BB32">
            <v>0.75</v>
          </cell>
          <cell r="BC32">
            <v>0.75</v>
          </cell>
          <cell r="BD32">
            <v>0.71299999999999997</v>
          </cell>
          <cell r="BE32">
            <v>0.75</v>
          </cell>
          <cell r="BF32">
            <v>0.8</v>
          </cell>
          <cell r="BG32">
            <v>0.75</v>
          </cell>
          <cell r="BH32">
            <v>0.75</v>
          </cell>
          <cell r="BI32">
            <v>0.79</v>
          </cell>
          <cell r="BJ32">
            <v>0.6</v>
          </cell>
          <cell r="BK32">
            <v>2.5000000000000001E-2</v>
          </cell>
          <cell r="BL32" t="str">
            <v>%PMP</v>
          </cell>
          <cell r="BM32">
            <v>1.4E-2</v>
          </cell>
          <cell r="BN32">
            <v>1.0500000000000001E-2</v>
          </cell>
          <cell r="BO32">
            <v>1.06E-2</v>
          </cell>
          <cell r="BP32">
            <v>7.1000000000000004E-3</v>
          </cell>
          <cell r="BQ32">
            <v>1.4E-2</v>
          </cell>
          <cell r="BR32">
            <v>1.0500000000000001E-2</v>
          </cell>
          <cell r="BS32">
            <v>1.06E-2</v>
          </cell>
          <cell r="BT32">
            <v>7.1000000000000004E-3</v>
          </cell>
          <cell r="BU32">
            <v>1.1200000000000002E-2</v>
          </cell>
          <cell r="BV32">
            <v>5.8800000000000007E-3</v>
          </cell>
          <cell r="BW32">
            <v>8.4799999999999997E-3</v>
          </cell>
          <cell r="BX32">
            <v>3.4080000000000004E-3</v>
          </cell>
          <cell r="BY32">
            <v>1.2320000000000003E-2</v>
          </cell>
          <cell r="BZ32">
            <v>6.9300000000000013E-3</v>
          </cell>
          <cell r="CA32">
            <v>8.9600000000000009E-3</v>
          </cell>
          <cell r="CB32">
            <v>4.7039999999999998E-3</v>
          </cell>
          <cell r="CC32">
            <v>6.7840000000000001E-3</v>
          </cell>
          <cell r="CD32">
            <v>2.7263999999999999E-3</v>
          </cell>
          <cell r="CE32">
            <v>8.9600000000000009E-3</v>
          </cell>
          <cell r="CF32">
            <v>4.7039999999999998E-3</v>
          </cell>
          <cell r="CG32">
            <v>6.7840000000000001E-3</v>
          </cell>
          <cell r="CH32">
            <v>2.7263999999999999E-3</v>
          </cell>
          <cell r="CI32">
            <v>1.3100000000000001E-2</v>
          </cell>
          <cell r="CJ32">
            <v>9.6000000000000009E-3</v>
          </cell>
          <cell r="CK32">
            <v>1.18E-2</v>
          </cell>
          <cell r="CL32">
            <v>8.3000000000000001E-3</v>
          </cell>
          <cell r="CM32">
            <v>1.3100000000000001E-2</v>
          </cell>
          <cell r="CN32">
            <v>9.6000000000000009E-3</v>
          </cell>
          <cell r="CO32">
            <v>1.18E-2</v>
          </cell>
          <cell r="CP32">
            <v>8.3000000000000001E-3</v>
          </cell>
          <cell r="CQ32">
            <v>1.0063256512499504E-2</v>
          </cell>
          <cell r="CR32">
            <v>4.9991661384674946E-3</v>
          </cell>
          <cell r="CS32">
            <v>8.6349233300802193E-3</v>
          </cell>
          <cell r="CT32">
            <v>3.46695417914499E-3</v>
          </cell>
          <cell r="CU32">
            <v>1.1069582163749456E-2</v>
          </cell>
          <cell r="CV32">
            <v>5.8918743774795477E-3</v>
          </cell>
          <cell r="CW32">
            <v>8.0506052099996034E-3</v>
          </cell>
          <cell r="CX32">
            <v>4.0447798756691553E-3</v>
          </cell>
          <cell r="CY32">
            <v>6.8819689698383707E-3</v>
          </cell>
          <cell r="CZ32">
            <v>2.7657724350482506E-3</v>
          </cell>
          <cell r="DA32">
            <v>8.0506052099996034E-3</v>
          </cell>
          <cell r="DB32">
            <v>4.0447798756691553E-3</v>
          </cell>
          <cell r="DC32">
            <v>6.8819689698383707E-3</v>
          </cell>
          <cell r="DD32">
            <v>2.7657724350482506E-3</v>
          </cell>
          <cell r="DE32">
            <v>1.0999999999999999E-2</v>
          </cell>
          <cell r="DF32">
            <v>7.4999999999999997E-3</v>
          </cell>
          <cell r="DG32">
            <v>9.7000000000000003E-3</v>
          </cell>
          <cell r="DH32">
            <v>6.1999999999999998E-3</v>
          </cell>
          <cell r="DI32">
            <v>1.83E-2</v>
          </cell>
          <cell r="DJ32">
            <v>1.4800000000000001E-2</v>
          </cell>
          <cell r="DK32">
            <v>1.61E-2</v>
          </cell>
          <cell r="DL32">
            <v>1.26E-2</v>
          </cell>
          <cell r="DM32">
            <v>1.0999999999999999E-2</v>
          </cell>
          <cell r="DN32">
            <v>7.5000000000000006E-3</v>
          </cell>
          <cell r="DO32">
            <v>9.6999999999999986E-3</v>
          </cell>
          <cell r="DP32">
            <v>6.2000000000000006E-3</v>
          </cell>
          <cell r="DQ32">
            <v>1.0999999999999999E-2</v>
          </cell>
          <cell r="DR32">
            <v>7.5000000000000006E-3</v>
          </cell>
          <cell r="DS32">
            <v>9.6999999999999986E-3</v>
          </cell>
          <cell r="DT32">
            <v>6.2000000000000006E-3</v>
          </cell>
          <cell r="DU32">
            <v>8.8000000000000005E-3</v>
          </cell>
          <cell r="DV32">
            <v>5.4000000000000003E-3</v>
          </cell>
          <cell r="DW32">
            <v>7.7999999999999996E-3</v>
          </cell>
          <cell r="DX32">
            <v>4.0000000000000001E-3</v>
          </cell>
          <cell r="DY32">
            <v>9.7000000000000003E-3</v>
          </cell>
          <cell r="DZ32">
            <v>6.0000000000000001E-3</v>
          </cell>
          <cell r="EA32">
            <v>7.3000000000000001E-3</v>
          </cell>
          <cell r="EB32">
            <v>4.4999999999999997E-3</v>
          </cell>
          <cell r="EC32">
            <v>6.4999999999999997E-3</v>
          </cell>
          <cell r="ED32">
            <v>3.3E-3</v>
          </cell>
          <cell r="EE32">
            <v>7.3000000000000001E-3</v>
          </cell>
          <cell r="EF32">
            <v>4.4999999999999997E-3</v>
          </cell>
          <cell r="EG32">
            <v>6.4999999999999997E-3</v>
          </cell>
          <cell r="EH32">
            <v>3.3E-3</v>
          </cell>
          <cell r="EI32">
            <v>1.83E-2</v>
          </cell>
          <cell r="EJ32">
            <v>1.4800000000000001E-2</v>
          </cell>
          <cell r="EK32">
            <v>1.61E-2</v>
          </cell>
          <cell r="EL32">
            <v>1.26E-2</v>
          </cell>
          <cell r="EM32">
            <v>1.0999999999999999E-2</v>
          </cell>
          <cell r="EN32">
            <v>7.5000000000000006E-3</v>
          </cell>
          <cell r="EO32">
            <v>9.6999999999999986E-3</v>
          </cell>
          <cell r="EP32">
            <v>6.2000000000000006E-3</v>
          </cell>
          <cell r="EQ32">
            <v>1.0999999999999999E-2</v>
          </cell>
          <cell r="ER32">
            <v>7.5000000000000006E-3</v>
          </cell>
          <cell r="ES32">
            <v>9.6999999999999986E-3</v>
          </cell>
          <cell r="ET32">
            <v>6.2000000000000006E-3</v>
          </cell>
          <cell r="EU32">
            <v>8.8000000000000005E-3</v>
          </cell>
          <cell r="EV32">
            <v>5.4000000000000003E-3</v>
          </cell>
          <cell r="EW32">
            <v>7.7999999999999996E-3</v>
          </cell>
          <cell r="EX32">
            <v>4.0000000000000001E-3</v>
          </cell>
          <cell r="EY32">
            <v>9.7000000000000003E-3</v>
          </cell>
          <cell r="EZ32">
            <v>6.0000000000000001E-3</v>
          </cell>
          <cell r="FA32">
            <v>7.3000000000000001E-3</v>
          </cell>
          <cell r="FB32">
            <v>4.4999999999999997E-3</v>
          </cell>
          <cell r="FC32">
            <v>6.4999999999999997E-3</v>
          </cell>
          <cell r="FD32">
            <v>3.3E-3</v>
          </cell>
          <cell r="FE32">
            <v>7.3000000000000001E-3</v>
          </cell>
          <cell r="FF32">
            <v>4.4999999999999997E-3</v>
          </cell>
          <cell r="FG32">
            <v>6.4999999999999997E-3</v>
          </cell>
          <cell r="FH32">
            <v>3.3E-3</v>
          </cell>
          <cell r="FI32">
            <v>2.76E-2</v>
          </cell>
          <cell r="FJ32">
            <v>2.4E-2</v>
          </cell>
          <cell r="FK32">
            <v>2.47E-2</v>
          </cell>
          <cell r="FL32">
            <v>2.1100000000000001E-2</v>
          </cell>
          <cell r="FM32">
            <v>2.76E-2</v>
          </cell>
          <cell r="FN32">
            <v>2.4E-2</v>
          </cell>
          <cell r="FO32">
            <v>2.47E-2</v>
          </cell>
          <cell r="FP32">
            <v>2.1100000000000001E-2</v>
          </cell>
          <cell r="FQ32">
            <v>1.11E-2</v>
          </cell>
          <cell r="FR32">
            <v>8.8000000000000005E-3</v>
          </cell>
          <cell r="FS32">
            <v>8.3999999999999995E-3</v>
          </cell>
          <cell r="FT32">
            <v>5.7999999999999996E-3</v>
          </cell>
          <cell r="FU32">
            <v>1.23E-2</v>
          </cell>
          <cell r="FV32">
            <v>9.1000000000000004E-3</v>
          </cell>
          <cell r="FW32">
            <v>9.7000000000000003E-3</v>
          </cell>
          <cell r="FX32">
            <v>7.6E-3</v>
          </cell>
          <cell r="FY32">
            <v>7.3000000000000001E-3</v>
          </cell>
          <cell r="FZ32">
            <v>5.0000000000000001E-3</v>
          </cell>
          <cell r="GA32">
            <v>9.7000000000000003E-3</v>
          </cell>
          <cell r="GB32">
            <v>7.6E-3</v>
          </cell>
          <cell r="GC32">
            <v>7.3000000000000001E-3</v>
          </cell>
          <cell r="GD32">
            <v>5.0000000000000001E-3</v>
          </cell>
          <cell r="GE32">
            <v>2.18E-2</v>
          </cell>
          <cell r="GF32">
            <v>1.9300000000000001E-2</v>
          </cell>
          <cell r="GG32">
            <v>1.9799999999999998E-2</v>
          </cell>
          <cell r="GH32">
            <v>1.6299999999999999E-2</v>
          </cell>
          <cell r="GI32">
            <v>2.18E-2</v>
          </cell>
          <cell r="GJ32">
            <v>1.9300000000000001E-2</v>
          </cell>
          <cell r="GK32">
            <v>1.9799999999999998E-2</v>
          </cell>
          <cell r="GL32">
            <v>1.6299999999999999E-2</v>
          </cell>
          <cell r="GM32">
            <v>1.11E-2</v>
          </cell>
          <cell r="GN32">
            <v>8.3999999999999995E-3</v>
          </cell>
          <cell r="GO32">
            <v>8.3999999999999995E-3</v>
          </cell>
          <cell r="GP32">
            <v>5.5999999999999999E-3</v>
          </cell>
          <cell r="GQ32">
            <v>1.23E-2</v>
          </cell>
          <cell r="GR32">
            <v>8.8000000000000005E-3</v>
          </cell>
          <cell r="GS32">
            <v>9.7000000000000003E-3</v>
          </cell>
          <cell r="GT32">
            <v>7.3000000000000001E-3</v>
          </cell>
          <cell r="GU32">
            <v>7.3000000000000001E-3</v>
          </cell>
          <cell r="GV32">
            <v>4.7999999999999996E-3</v>
          </cell>
          <cell r="GW32">
            <v>9.7000000000000003E-3</v>
          </cell>
          <cell r="GX32">
            <v>7.3000000000000001E-3</v>
          </cell>
          <cell r="GY32">
            <v>7.3000000000000001E-3</v>
          </cell>
          <cell r="GZ32">
            <v>4.7999999999999996E-3</v>
          </cell>
          <cell r="HA32">
            <v>2.18E-2</v>
          </cell>
          <cell r="HB32">
            <v>1.9300000000000001E-2</v>
          </cell>
          <cell r="HC32">
            <v>1.9799999999999998E-2</v>
          </cell>
          <cell r="HD32">
            <v>1.6299999999999999E-2</v>
          </cell>
          <cell r="HE32">
            <v>2.18E-2</v>
          </cell>
          <cell r="HF32">
            <v>1.9300000000000001E-2</v>
          </cell>
          <cell r="HG32">
            <v>1.9799999999999998E-2</v>
          </cell>
          <cell r="HH32">
            <v>1.6299999999999999E-2</v>
          </cell>
          <cell r="HI32">
            <v>1.11E-2</v>
          </cell>
          <cell r="HJ32">
            <v>8.2000000000000007E-3</v>
          </cell>
          <cell r="HK32">
            <v>8.3999999999999995E-3</v>
          </cell>
          <cell r="HL32">
            <v>5.4000000000000003E-3</v>
          </cell>
          <cell r="HM32">
            <v>1.23E-2</v>
          </cell>
          <cell r="HN32">
            <v>8.6E-3</v>
          </cell>
          <cell r="HO32">
            <v>9.7000000000000003E-3</v>
          </cell>
          <cell r="HP32">
            <v>7.1000000000000004E-3</v>
          </cell>
          <cell r="HQ32">
            <v>7.3000000000000001E-3</v>
          </cell>
          <cell r="HR32">
            <v>4.7000000000000002E-3</v>
          </cell>
          <cell r="HS32">
            <v>9.7000000000000003E-3</v>
          </cell>
          <cell r="HT32">
            <v>7.1000000000000004E-3</v>
          </cell>
          <cell r="HU32">
            <v>7.3000000000000001E-3</v>
          </cell>
          <cell r="HV32">
            <v>4.7000000000000002E-3</v>
          </cell>
          <cell r="HW32" t="str">
            <v>%PPL</v>
          </cell>
        </row>
        <row r="33">
          <cell r="AC33" t="str">
            <v>DOD-GPP 3.0 PPA RES (Reseller)</v>
          </cell>
          <cell r="AD33" t="str">
            <v>Partner</v>
          </cell>
          <cell r="AE33">
            <v>0.11</v>
          </cell>
          <cell r="AF33" t="str">
            <v>DOD-GPP 3.0 PPA RES (Reseller)-Partner</v>
          </cell>
          <cell r="AK33" t="str">
            <v>MEA-PMA_PL</v>
          </cell>
          <cell r="AL33" t="str">
            <v>New MEA_PL_TS_RFE</v>
          </cell>
          <cell r="AM33" t="str">
            <v>New MEA_PL_TS_RFE_FY</v>
          </cell>
          <cell r="AN33" t="str">
            <v>New MEA_PL_TS_RFR</v>
          </cell>
          <cell r="AO33" t="str">
            <v>New MEA_PL_TS_RFR_FY</v>
          </cell>
          <cell r="AV33" t="str">
            <v>7750 IOM4-e L3HQ</v>
          </cell>
          <cell r="AW33">
            <v>0.8</v>
          </cell>
          <cell r="AX33">
            <v>0.7</v>
          </cell>
          <cell r="AY33">
            <v>0.75</v>
          </cell>
          <cell r="AZ33">
            <v>0.75</v>
          </cell>
          <cell r="BA33">
            <v>0.71299999999999997</v>
          </cell>
          <cell r="BB33">
            <v>0.75</v>
          </cell>
          <cell r="BC33">
            <v>0.75</v>
          </cell>
          <cell r="BD33">
            <v>0.71299999999999997</v>
          </cell>
          <cell r="BE33">
            <v>0.75</v>
          </cell>
          <cell r="BF33">
            <v>0.8</v>
          </cell>
          <cell r="BG33">
            <v>0.75</v>
          </cell>
          <cell r="BH33">
            <v>0.75</v>
          </cell>
          <cell r="BI33">
            <v>0.86</v>
          </cell>
          <cell r="BJ33">
            <v>0.6</v>
          </cell>
          <cell r="BK33">
            <v>2.5000000000000001E-2</v>
          </cell>
          <cell r="BL33" t="str">
            <v>%PMP</v>
          </cell>
          <cell r="BM33">
            <v>1.4E-2</v>
          </cell>
          <cell r="BN33">
            <v>1.0500000000000001E-2</v>
          </cell>
          <cell r="BO33">
            <v>1.06E-2</v>
          </cell>
          <cell r="BP33">
            <v>7.1000000000000004E-3</v>
          </cell>
          <cell r="BQ33">
            <v>1.4E-2</v>
          </cell>
          <cell r="BR33">
            <v>1.0500000000000001E-2</v>
          </cell>
          <cell r="BS33">
            <v>1.06E-2</v>
          </cell>
          <cell r="BT33">
            <v>7.1000000000000004E-3</v>
          </cell>
          <cell r="BU33">
            <v>1.1200000000000002E-2</v>
          </cell>
          <cell r="BV33">
            <v>5.8800000000000007E-3</v>
          </cell>
          <cell r="BW33">
            <v>8.4799999999999997E-3</v>
          </cell>
          <cell r="BX33">
            <v>3.4080000000000004E-3</v>
          </cell>
          <cell r="BY33">
            <v>1.2320000000000003E-2</v>
          </cell>
          <cell r="BZ33">
            <v>6.9300000000000013E-3</v>
          </cell>
          <cell r="CA33">
            <v>8.9600000000000009E-3</v>
          </cell>
          <cell r="CB33">
            <v>4.7039999999999998E-3</v>
          </cell>
          <cell r="CC33">
            <v>6.7840000000000001E-3</v>
          </cell>
          <cell r="CD33">
            <v>2.7263999999999999E-3</v>
          </cell>
          <cell r="CE33">
            <v>8.9600000000000009E-3</v>
          </cell>
          <cell r="CF33">
            <v>4.7039999999999998E-3</v>
          </cell>
          <cell r="CG33">
            <v>6.7840000000000001E-3</v>
          </cell>
          <cell r="CH33">
            <v>2.7263999999999999E-3</v>
          </cell>
          <cell r="CI33">
            <v>1.3100000000000001E-2</v>
          </cell>
          <cell r="CJ33">
            <v>9.6000000000000009E-3</v>
          </cell>
          <cell r="CK33">
            <v>1.18E-2</v>
          </cell>
          <cell r="CL33">
            <v>8.3000000000000001E-3</v>
          </cell>
          <cell r="CM33">
            <v>1.3100000000000001E-2</v>
          </cell>
          <cell r="CN33">
            <v>9.6000000000000009E-3</v>
          </cell>
          <cell r="CO33">
            <v>1.18E-2</v>
          </cell>
          <cell r="CP33">
            <v>8.3000000000000001E-3</v>
          </cell>
          <cell r="CQ33">
            <v>1.0063256512499504E-2</v>
          </cell>
          <cell r="CR33">
            <v>4.9991661384674946E-3</v>
          </cell>
          <cell r="CS33">
            <v>8.6349233300802193E-3</v>
          </cell>
          <cell r="CT33">
            <v>3.46695417914499E-3</v>
          </cell>
          <cell r="CU33">
            <v>1.1069582163749456E-2</v>
          </cell>
          <cell r="CV33">
            <v>5.8918743774795477E-3</v>
          </cell>
          <cell r="CW33">
            <v>8.0506052099996034E-3</v>
          </cell>
          <cell r="CX33">
            <v>4.0447798756691553E-3</v>
          </cell>
          <cell r="CY33">
            <v>6.8819689698383707E-3</v>
          </cell>
          <cell r="CZ33">
            <v>2.7657724350482506E-3</v>
          </cell>
          <cell r="DA33">
            <v>8.0506052099996034E-3</v>
          </cell>
          <cell r="DB33">
            <v>4.0447798756691553E-3</v>
          </cell>
          <cell r="DC33">
            <v>6.8819689698383707E-3</v>
          </cell>
          <cell r="DD33">
            <v>2.7657724350482506E-3</v>
          </cell>
          <cell r="DE33">
            <v>1.0999999999999999E-2</v>
          </cell>
          <cell r="DF33">
            <v>7.4999999999999997E-3</v>
          </cell>
          <cell r="DG33">
            <v>9.7000000000000003E-3</v>
          </cell>
          <cell r="DH33">
            <v>6.1999999999999998E-3</v>
          </cell>
          <cell r="DI33">
            <v>1.83E-2</v>
          </cell>
          <cell r="DJ33">
            <v>1.4800000000000001E-2</v>
          </cell>
          <cell r="DK33">
            <v>1.61E-2</v>
          </cell>
          <cell r="DL33">
            <v>1.26E-2</v>
          </cell>
          <cell r="DM33">
            <v>1.0999999999999999E-2</v>
          </cell>
          <cell r="DN33">
            <v>7.5000000000000006E-3</v>
          </cell>
          <cell r="DO33">
            <v>9.6999999999999986E-3</v>
          </cell>
          <cell r="DP33">
            <v>6.2000000000000006E-3</v>
          </cell>
          <cell r="DQ33">
            <v>1.0999999999999999E-2</v>
          </cell>
          <cell r="DR33">
            <v>7.5000000000000006E-3</v>
          </cell>
          <cell r="DS33">
            <v>9.6999999999999986E-3</v>
          </cell>
          <cell r="DT33">
            <v>6.2000000000000006E-3</v>
          </cell>
          <cell r="DU33">
            <v>8.8000000000000005E-3</v>
          </cell>
          <cell r="DV33">
            <v>5.4000000000000003E-3</v>
          </cell>
          <cell r="DW33">
            <v>7.7999999999999996E-3</v>
          </cell>
          <cell r="DX33">
            <v>4.0000000000000001E-3</v>
          </cell>
          <cell r="DY33">
            <v>9.7000000000000003E-3</v>
          </cell>
          <cell r="DZ33">
            <v>6.0000000000000001E-3</v>
          </cell>
          <cell r="EA33">
            <v>7.3000000000000001E-3</v>
          </cell>
          <cell r="EB33">
            <v>4.4999999999999997E-3</v>
          </cell>
          <cell r="EC33">
            <v>6.4999999999999997E-3</v>
          </cell>
          <cell r="ED33">
            <v>3.3E-3</v>
          </cell>
          <cell r="EE33">
            <v>7.3000000000000001E-3</v>
          </cell>
          <cell r="EF33">
            <v>4.4999999999999997E-3</v>
          </cell>
          <cell r="EG33">
            <v>6.4999999999999997E-3</v>
          </cell>
          <cell r="EH33">
            <v>3.3E-3</v>
          </cell>
          <cell r="EI33">
            <v>1.83E-2</v>
          </cell>
          <cell r="EJ33">
            <v>1.4800000000000001E-2</v>
          </cell>
          <cell r="EK33">
            <v>1.61E-2</v>
          </cell>
          <cell r="EL33">
            <v>1.26E-2</v>
          </cell>
          <cell r="EM33">
            <v>1.0999999999999999E-2</v>
          </cell>
          <cell r="EN33">
            <v>7.5000000000000006E-3</v>
          </cell>
          <cell r="EO33">
            <v>9.6999999999999986E-3</v>
          </cell>
          <cell r="EP33">
            <v>6.2000000000000006E-3</v>
          </cell>
          <cell r="EQ33">
            <v>1.0999999999999999E-2</v>
          </cell>
          <cell r="ER33">
            <v>7.5000000000000006E-3</v>
          </cell>
          <cell r="ES33">
            <v>9.6999999999999986E-3</v>
          </cell>
          <cell r="ET33">
            <v>6.2000000000000006E-3</v>
          </cell>
          <cell r="EU33">
            <v>8.8000000000000005E-3</v>
          </cell>
          <cell r="EV33">
            <v>5.4000000000000003E-3</v>
          </cell>
          <cell r="EW33">
            <v>7.7999999999999996E-3</v>
          </cell>
          <cell r="EX33">
            <v>4.0000000000000001E-3</v>
          </cell>
          <cell r="EY33">
            <v>9.7000000000000003E-3</v>
          </cell>
          <cell r="EZ33">
            <v>6.0000000000000001E-3</v>
          </cell>
          <cell r="FA33">
            <v>7.3000000000000001E-3</v>
          </cell>
          <cell r="FB33">
            <v>4.4999999999999997E-3</v>
          </cell>
          <cell r="FC33">
            <v>6.4999999999999997E-3</v>
          </cell>
          <cell r="FD33">
            <v>3.3E-3</v>
          </cell>
          <cell r="FE33">
            <v>7.3000000000000001E-3</v>
          </cell>
          <cell r="FF33">
            <v>4.4999999999999997E-3</v>
          </cell>
          <cell r="FG33">
            <v>6.4999999999999997E-3</v>
          </cell>
          <cell r="FH33">
            <v>3.3E-3</v>
          </cell>
          <cell r="FI33">
            <v>2.76E-2</v>
          </cell>
          <cell r="FJ33">
            <v>2.4E-2</v>
          </cell>
          <cell r="FK33">
            <v>2.47E-2</v>
          </cell>
          <cell r="FL33">
            <v>2.1100000000000001E-2</v>
          </cell>
          <cell r="FM33">
            <v>2.76E-2</v>
          </cell>
          <cell r="FN33">
            <v>2.4E-2</v>
          </cell>
          <cell r="FO33">
            <v>2.47E-2</v>
          </cell>
          <cell r="FP33">
            <v>2.1100000000000001E-2</v>
          </cell>
          <cell r="FQ33">
            <v>1.11E-2</v>
          </cell>
          <cell r="FR33">
            <v>8.8000000000000005E-3</v>
          </cell>
          <cell r="FS33">
            <v>8.3999999999999995E-3</v>
          </cell>
          <cell r="FT33">
            <v>5.7999999999999996E-3</v>
          </cell>
          <cell r="FU33">
            <v>1.23E-2</v>
          </cell>
          <cell r="FV33">
            <v>9.1000000000000004E-3</v>
          </cell>
          <cell r="FW33">
            <v>9.7000000000000003E-3</v>
          </cell>
          <cell r="FX33">
            <v>7.6E-3</v>
          </cell>
          <cell r="FY33">
            <v>7.3000000000000001E-3</v>
          </cell>
          <cell r="FZ33">
            <v>5.0000000000000001E-3</v>
          </cell>
          <cell r="GA33">
            <v>9.7000000000000003E-3</v>
          </cell>
          <cell r="GB33">
            <v>7.6E-3</v>
          </cell>
          <cell r="GC33">
            <v>7.3000000000000001E-3</v>
          </cell>
          <cell r="GD33">
            <v>5.0000000000000001E-3</v>
          </cell>
          <cell r="GE33">
            <v>2.18E-2</v>
          </cell>
          <cell r="GF33">
            <v>1.9300000000000001E-2</v>
          </cell>
          <cell r="GG33">
            <v>1.9799999999999998E-2</v>
          </cell>
          <cell r="GH33">
            <v>1.6299999999999999E-2</v>
          </cell>
          <cell r="GI33">
            <v>2.18E-2</v>
          </cell>
          <cell r="GJ33">
            <v>1.9300000000000001E-2</v>
          </cell>
          <cell r="GK33">
            <v>1.9799999999999998E-2</v>
          </cell>
          <cell r="GL33">
            <v>1.6299999999999999E-2</v>
          </cell>
          <cell r="GM33">
            <v>1.11E-2</v>
          </cell>
          <cell r="GN33">
            <v>8.3999999999999995E-3</v>
          </cell>
          <cell r="GO33">
            <v>8.3999999999999995E-3</v>
          </cell>
          <cell r="GP33">
            <v>5.5999999999999999E-3</v>
          </cell>
          <cell r="GQ33">
            <v>1.23E-2</v>
          </cell>
          <cell r="GR33">
            <v>8.8000000000000005E-3</v>
          </cell>
          <cell r="GS33">
            <v>9.7000000000000003E-3</v>
          </cell>
          <cell r="GT33">
            <v>7.3000000000000001E-3</v>
          </cell>
          <cell r="GU33">
            <v>7.3000000000000001E-3</v>
          </cell>
          <cell r="GV33">
            <v>4.7999999999999996E-3</v>
          </cell>
          <cell r="GW33">
            <v>9.7000000000000003E-3</v>
          </cell>
          <cell r="GX33">
            <v>7.3000000000000001E-3</v>
          </cell>
          <cell r="GY33">
            <v>7.3000000000000001E-3</v>
          </cell>
          <cell r="GZ33">
            <v>4.7999999999999996E-3</v>
          </cell>
          <cell r="HA33">
            <v>2.18E-2</v>
          </cell>
          <cell r="HB33">
            <v>1.9300000000000001E-2</v>
          </cell>
          <cell r="HC33">
            <v>1.9799999999999998E-2</v>
          </cell>
          <cell r="HD33">
            <v>1.6299999999999999E-2</v>
          </cell>
          <cell r="HE33">
            <v>2.18E-2</v>
          </cell>
          <cell r="HF33">
            <v>1.9300000000000001E-2</v>
          </cell>
          <cell r="HG33">
            <v>1.9799999999999998E-2</v>
          </cell>
          <cell r="HH33">
            <v>1.6299999999999999E-2</v>
          </cell>
          <cell r="HI33">
            <v>1.11E-2</v>
          </cell>
          <cell r="HJ33">
            <v>8.2000000000000007E-3</v>
          </cell>
          <cell r="HK33">
            <v>8.3999999999999995E-3</v>
          </cell>
          <cell r="HL33">
            <v>5.4000000000000003E-3</v>
          </cell>
          <cell r="HM33">
            <v>1.23E-2</v>
          </cell>
          <cell r="HN33">
            <v>8.6E-3</v>
          </cell>
          <cell r="HO33">
            <v>9.7000000000000003E-3</v>
          </cell>
          <cell r="HP33">
            <v>7.1000000000000004E-3</v>
          </cell>
          <cell r="HQ33">
            <v>7.3000000000000001E-3</v>
          </cell>
          <cell r="HR33">
            <v>4.7000000000000002E-3</v>
          </cell>
          <cell r="HS33">
            <v>9.7000000000000003E-3</v>
          </cell>
          <cell r="HT33">
            <v>7.1000000000000004E-3</v>
          </cell>
          <cell r="HU33">
            <v>7.3000000000000001E-3</v>
          </cell>
          <cell r="HV33">
            <v>4.7000000000000002E-3</v>
          </cell>
          <cell r="HW33" t="str">
            <v>%PPL</v>
          </cell>
        </row>
        <row r="34">
          <cell r="AC34" t="str">
            <v>DOD-GPP 3.0 PPA RES (Reseller)</v>
          </cell>
          <cell r="AD34" t="str">
            <v>Nokia</v>
          </cell>
          <cell r="AE34">
            <v>0</v>
          </cell>
          <cell r="AF34" t="str">
            <v>DOD-GPP 3.0 PPA RES (Reseller)-Nokia</v>
          </cell>
          <cell r="AK34" t="str">
            <v>APJ-A-PMA_PL</v>
          </cell>
          <cell r="AL34" t="str">
            <v>New APJ-A_PL_TS_RFE</v>
          </cell>
          <cell r="AM34" t="str">
            <v>New APJ-A_PL_TS_RFE_FY</v>
          </cell>
          <cell r="AN34" t="str">
            <v>New APJ-A_PL_TS_RFR</v>
          </cell>
          <cell r="AO34" t="str">
            <v>New APJ-A_PL_TS_RFR_FY</v>
          </cell>
          <cell r="AV34" t="str">
            <v>7750 IOM5-e</v>
          </cell>
          <cell r="AW34">
            <v>0.8</v>
          </cell>
          <cell r="AX34">
            <v>0.7</v>
          </cell>
          <cell r="AY34">
            <v>0.75</v>
          </cell>
          <cell r="AZ34">
            <v>0.75</v>
          </cell>
          <cell r="BA34">
            <v>0.71299999999999997</v>
          </cell>
          <cell r="BB34">
            <v>0.75</v>
          </cell>
          <cell r="BC34">
            <v>0.75</v>
          </cell>
          <cell r="BD34">
            <v>0.71299999999999997</v>
          </cell>
          <cell r="BE34">
            <v>0.75</v>
          </cell>
          <cell r="BF34">
            <v>0.8</v>
          </cell>
          <cell r="BG34">
            <v>0.75</v>
          </cell>
          <cell r="BH34">
            <v>0.75</v>
          </cell>
          <cell r="BI34">
            <v>0.78</v>
          </cell>
          <cell r="BJ34">
            <v>0.6</v>
          </cell>
          <cell r="BK34">
            <v>2.5000000000000001E-2</v>
          </cell>
          <cell r="BL34" t="str">
            <v>%PMP</v>
          </cell>
          <cell r="BM34">
            <v>1.4E-2</v>
          </cell>
          <cell r="BN34">
            <v>1.0500000000000001E-2</v>
          </cell>
          <cell r="BO34">
            <v>1.06E-2</v>
          </cell>
          <cell r="BP34">
            <v>7.1000000000000004E-3</v>
          </cell>
          <cell r="BQ34">
            <v>1.4E-2</v>
          </cell>
          <cell r="BR34">
            <v>1.0500000000000001E-2</v>
          </cell>
          <cell r="BS34">
            <v>1.06E-2</v>
          </cell>
          <cell r="BT34">
            <v>7.1000000000000004E-3</v>
          </cell>
          <cell r="BU34">
            <v>1.1200000000000002E-2</v>
          </cell>
          <cell r="BV34">
            <v>5.8800000000000007E-3</v>
          </cell>
          <cell r="BW34">
            <v>8.4799999999999997E-3</v>
          </cell>
          <cell r="BX34">
            <v>3.4080000000000004E-3</v>
          </cell>
          <cell r="BY34">
            <v>1.2320000000000003E-2</v>
          </cell>
          <cell r="BZ34">
            <v>6.9300000000000013E-3</v>
          </cell>
          <cell r="CA34">
            <v>8.9600000000000009E-3</v>
          </cell>
          <cell r="CB34">
            <v>4.7039999999999998E-3</v>
          </cell>
          <cell r="CC34">
            <v>6.7840000000000001E-3</v>
          </cell>
          <cell r="CD34">
            <v>2.7263999999999999E-3</v>
          </cell>
          <cell r="CE34">
            <v>8.9600000000000009E-3</v>
          </cell>
          <cell r="CF34">
            <v>4.7039999999999998E-3</v>
          </cell>
          <cell r="CG34">
            <v>6.7840000000000001E-3</v>
          </cell>
          <cell r="CH34">
            <v>2.7263999999999999E-3</v>
          </cell>
          <cell r="CI34">
            <v>1.3100000000000001E-2</v>
          </cell>
          <cell r="CJ34">
            <v>9.6000000000000009E-3</v>
          </cell>
          <cell r="CK34">
            <v>1.18E-2</v>
          </cell>
          <cell r="CL34">
            <v>8.3000000000000001E-3</v>
          </cell>
          <cell r="CM34">
            <v>1.3100000000000001E-2</v>
          </cell>
          <cell r="CN34">
            <v>9.6000000000000009E-3</v>
          </cell>
          <cell r="CO34">
            <v>1.18E-2</v>
          </cell>
          <cell r="CP34">
            <v>8.3000000000000001E-3</v>
          </cell>
          <cell r="CQ34">
            <v>1.0063256512499504E-2</v>
          </cell>
          <cell r="CR34">
            <v>4.9991661384674946E-3</v>
          </cell>
          <cell r="CS34">
            <v>8.6349233300802193E-3</v>
          </cell>
          <cell r="CT34">
            <v>3.46695417914499E-3</v>
          </cell>
          <cell r="CU34">
            <v>1.1069582163749456E-2</v>
          </cell>
          <cell r="CV34">
            <v>5.8918743774795477E-3</v>
          </cell>
          <cell r="CW34">
            <v>8.0506052099996034E-3</v>
          </cell>
          <cell r="CX34">
            <v>4.0447798756691553E-3</v>
          </cell>
          <cell r="CY34">
            <v>6.8819689698383707E-3</v>
          </cell>
          <cell r="CZ34">
            <v>2.7657724350482506E-3</v>
          </cell>
          <cell r="DA34">
            <v>8.0506052099996034E-3</v>
          </cell>
          <cell r="DB34">
            <v>4.0447798756691553E-3</v>
          </cell>
          <cell r="DC34">
            <v>6.8819689698383707E-3</v>
          </cell>
          <cell r="DD34">
            <v>2.7657724350482506E-3</v>
          </cell>
          <cell r="DE34">
            <v>1.0999999999999999E-2</v>
          </cell>
          <cell r="DF34">
            <v>7.4999999999999997E-3</v>
          </cell>
          <cell r="DG34">
            <v>9.7000000000000003E-3</v>
          </cell>
          <cell r="DH34">
            <v>6.1999999999999998E-3</v>
          </cell>
          <cell r="DI34">
            <v>1.83E-2</v>
          </cell>
          <cell r="DJ34">
            <v>1.4800000000000001E-2</v>
          </cell>
          <cell r="DK34">
            <v>1.61E-2</v>
          </cell>
          <cell r="DL34">
            <v>1.26E-2</v>
          </cell>
          <cell r="DM34">
            <v>1.0999999999999999E-2</v>
          </cell>
          <cell r="DN34">
            <v>7.5000000000000006E-3</v>
          </cell>
          <cell r="DO34">
            <v>9.6999999999999986E-3</v>
          </cell>
          <cell r="DP34">
            <v>6.2000000000000006E-3</v>
          </cell>
          <cell r="DQ34">
            <v>1.0999999999999999E-2</v>
          </cell>
          <cell r="DR34">
            <v>7.5000000000000006E-3</v>
          </cell>
          <cell r="DS34">
            <v>9.6999999999999986E-3</v>
          </cell>
          <cell r="DT34">
            <v>6.2000000000000006E-3</v>
          </cell>
          <cell r="DU34">
            <v>8.8000000000000005E-3</v>
          </cell>
          <cell r="DV34">
            <v>5.4000000000000003E-3</v>
          </cell>
          <cell r="DW34">
            <v>7.7999999999999996E-3</v>
          </cell>
          <cell r="DX34">
            <v>4.0000000000000001E-3</v>
          </cell>
          <cell r="DY34">
            <v>9.7000000000000003E-3</v>
          </cell>
          <cell r="DZ34">
            <v>6.0000000000000001E-3</v>
          </cell>
          <cell r="EA34">
            <v>7.3000000000000001E-3</v>
          </cell>
          <cell r="EB34">
            <v>4.4999999999999997E-3</v>
          </cell>
          <cell r="EC34">
            <v>6.4999999999999997E-3</v>
          </cell>
          <cell r="ED34">
            <v>3.3E-3</v>
          </cell>
          <cell r="EE34">
            <v>7.3000000000000001E-3</v>
          </cell>
          <cell r="EF34">
            <v>4.4999999999999997E-3</v>
          </cell>
          <cell r="EG34">
            <v>6.4999999999999997E-3</v>
          </cell>
          <cell r="EH34">
            <v>3.3E-3</v>
          </cell>
          <cell r="EI34">
            <v>1.83E-2</v>
          </cell>
          <cell r="EJ34">
            <v>1.4800000000000001E-2</v>
          </cell>
          <cell r="EK34">
            <v>1.61E-2</v>
          </cell>
          <cell r="EL34">
            <v>1.26E-2</v>
          </cell>
          <cell r="EM34">
            <v>1.0999999999999999E-2</v>
          </cell>
          <cell r="EN34">
            <v>7.5000000000000006E-3</v>
          </cell>
          <cell r="EO34">
            <v>9.6999999999999986E-3</v>
          </cell>
          <cell r="EP34">
            <v>6.2000000000000006E-3</v>
          </cell>
          <cell r="EQ34">
            <v>1.0999999999999999E-2</v>
          </cell>
          <cell r="ER34">
            <v>7.5000000000000006E-3</v>
          </cell>
          <cell r="ES34">
            <v>9.6999999999999986E-3</v>
          </cell>
          <cell r="ET34">
            <v>6.2000000000000006E-3</v>
          </cell>
          <cell r="EU34">
            <v>8.8000000000000005E-3</v>
          </cell>
          <cell r="EV34">
            <v>5.4000000000000003E-3</v>
          </cell>
          <cell r="EW34">
            <v>7.7999999999999996E-3</v>
          </cell>
          <cell r="EX34">
            <v>4.0000000000000001E-3</v>
          </cell>
          <cell r="EY34">
            <v>9.7000000000000003E-3</v>
          </cell>
          <cell r="EZ34">
            <v>6.0000000000000001E-3</v>
          </cell>
          <cell r="FA34">
            <v>7.3000000000000001E-3</v>
          </cell>
          <cell r="FB34">
            <v>4.4999999999999997E-3</v>
          </cell>
          <cell r="FC34">
            <v>6.4999999999999997E-3</v>
          </cell>
          <cell r="FD34">
            <v>3.3E-3</v>
          </cell>
          <cell r="FE34">
            <v>7.3000000000000001E-3</v>
          </cell>
          <cell r="FF34">
            <v>4.4999999999999997E-3</v>
          </cell>
          <cell r="FG34">
            <v>6.4999999999999997E-3</v>
          </cell>
          <cell r="FH34">
            <v>3.3E-3</v>
          </cell>
          <cell r="FI34">
            <v>2.76E-2</v>
          </cell>
          <cell r="FJ34">
            <v>2.4E-2</v>
          </cell>
          <cell r="FK34">
            <v>2.47E-2</v>
          </cell>
          <cell r="FL34">
            <v>2.1100000000000001E-2</v>
          </cell>
          <cell r="FM34">
            <v>2.76E-2</v>
          </cell>
          <cell r="FN34">
            <v>2.4E-2</v>
          </cell>
          <cell r="FO34">
            <v>2.47E-2</v>
          </cell>
          <cell r="FP34">
            <v>2.1100000000000001E-2</v>
          </cell>
          <cell r="FQ34">
            <v>1.11E-2</v>
          </cell>
          <cell r="FR34">
            <v>8.8000000000000005E-3</v>
          </cell>
          <cell r="FS34">
            <v>8.3999999999999995E-3</v>
          </cell>
          <cell r="FT34">
            <v>5.7999999999999996E-3</v>
          </cell>
          <cell r="FU34">
            <v>1.23E-2</v>
          </cell>
          <cell r="FV34">
            <v>9.1000000000000004E-3</v>
          </cell>
          <cell r="FW34">
            <v>9.7000000000000003E-3</v>
          </cell>
          <cell r="FX34">
            <v>7.6E-3</v>
          </cell>
          <cell r="FY34">
            <v>7.3000000000000001E-3</v>
          </cell>
          <cell r="FZ34">
            <v>5.0000000000000001E-3</v>
          </cell>
          <cell r="GA34">
            <v>9.7000000000000003E-3</v>
          </cell>
          <cell r="GB34">
            <v>7.6E-3</v>
          </cell>
          <cell r="GC34">
            <v>7.3000000000000001E-3</v>
          </cell>
          <cell r="GD34">
            <v>5.0000000000000001E-3</v>
          </cell>
          <cell r="GE34">
            <v>2.18E-2</v>
          </cell>
          <cell r="GF34">
            <v>1.9300000000000001E-2</v>
          </cell>
          <cell r="GG34">
            <v>1.9799999999999998E-2</v>
          </cell>
          <cell r="GH34">
            <v>1.6299999999999999E-2</v>
          </cell>
          <cell r="GI34">
            <v>2.18E-2</v>
          </cell>
          <cell r="GJ34">
            <v>1.9300000000000001E-2</v>
          </cell>
          <cell r="GK34">
            <v>1.9799999999999998E-2</v>
          </cell>
          <cell r="GL34">
            <v>1.6299999999999999E-2</v>
          </cell>
          <cell r="GM34">
            <v>1.11E-2</v>
          </cell>
          <cell r="GN34">
            <v>8.3999999999999995E-3</v>
          </cell>
          <cell r="GO34">
            <v>8.3999999999999995E-3</v>
          </cell>
          <cell r="GP34">
            <v>5.5999999999999999E-3</v>
          </cell>
          <cell r="GQ34">
            <v>1.23E-2</v>
          </cell>
          <cell r="GR34">
            <v>8.8000000000000005E-3</v>
          </cell>
          <cell r="GS34">
            <v>9.7000000000000003E-3</v>
          </cell>
          <cell r="GT34">
            <v>7.3000000000000001E-3</v>
          </cell>
          <cell r="GU34">
            <v>7.3000000000000001E-3</v>
          </cell>
          <cell r="GV34">
            <v>4.7999999999999996E-3</v>
          </cell>
          <cell r="GW34">
            <v>9.7000000000000003E-3</v>
          </cell>
          <cell r="GX34">
            <v>7.3000000000000001E-3</v>
          </cell>
          <cell r="GY34">
            <v>7.3000000000000001E-3</v>
          </cell>
          <cell r="GZ34">
            <v>4.7999999999999996E-3</v>
          </cell>
          <cell r="HA34">
            <v>2.18E-2</v>
          </cell>
          <cell r="HB34">
            <v>1.9300000000000001E-2</v>
          </cell>
          <cell r="HC34">
            <v>1.9799999999999998E-2</v>
          </cell>
          <cell r="HD34">
            <v>1.6299999999999999E-2</v>
          </cell>
          <cell r="HE34">
            <v>2.18E-2</v>
          </cell>
          <cell r="HF34">
            <v>1.9300000000000001E-2</v>
          </cell>
          <cell r="HG34">
            <v>1.9799999999999998E-2</v>
          </cell>
          <cell r="HH34">
            <v>1.6299999999999999E-2</v>
          </cell>
          <cell r="HI34">
            <v>1.11E-2</v>
          </cell>
          <cell r="HJ34">
            <v>8.2000000000000007E-3</v>
          </cell>
          <cell r="HK34">
            <v>8.3999999999999995E-3</v>
          </cell>
          <cell r="HL34">
            <v>5.4000000000000003E-3</v>
          </cell>
          <cell r="HM34">
            <v>1.23E-2</v>
          </cell>
          <cell r="HN34">
            <v>8.6E-3</v>
          </cell>
          <cell r="HO34">
            <v>9.7000000000000003E-3</v>
          </cell>
          <cell r="HP34">
            <v>7.1000000000000004E-3</v>
          </cell>
          <cell r="HQ34">
            <v>7.3000000000000001E-3</v>
          </cell>
          <cell r="HR34">
            <v>4.7000000000000002E-3</v>
          </cell>
          <cell r="HS34">
            <v>9.7000000000000003E-3</v>
          </cell>
          <cell r="HT34">
            <v>7.1000000000000004E-3</v>
          </cell>
          <cell r="HU34">
            <v>7.3000000000000001E-3</v>
          </cell>
          <cell r="HV34">
            <v>4.7000000000000002E-3</v>
          </cell>
          <cell r="HW34" t="str">
            <v>%PPL</v>
          </cell>
        </row>
        <row r="35">
          <cell r="AC35" t="str">
            <v>DOD-GPP 3.0 PPA RES (Reseller) w PMA</v>
          </cell>
          <cell r="AD35" t="str">
            <v>Partner</v>
          </cell>
          <cell r="AE35">
            <v>0.11</v>
          </cell>
          <cell r="AF35" t="str">
            <v>DOD-GPP 3.0 PPA RES (Reseller) w PMA-Partner</v>
          </cell>
          <cell r="AK35" t="str">
            <v>APJ-B-PMA_PL</v>
          </cell>
          <cell r="AL35" t="str">
            <v>New APJ-B_PL_TS_RFE</v>
          </cell>
          <cell r="AM35" t="str">
            <v>New APJ-B_PL_TS_RFE_FY</v>
          </cell>
          <cell r="AN35" t="str">
            <v>New APJ-B_PL_TS_RFR</v>
          </cell>
          <cell r="AO35" t="str">
            <v>New APJ-B_PL_TS_RFR_FY</v>
          </cell>
          <cell r="AV35" t="str">
            <v>7750 MDA-e 100GE</v>
          </cell>
          <cell r="AW35">
            <v>0.8</v>
          </cell>
          <cell r="AX35">
            <v>0.7</v>
          </cell>
          <cell r="AY35">
            <v>0.75</v>
          </cell>
          <cell r="AZ35">
            <v>0.75</v>
          </cell>
          <cell r="BA35">
            <v>0.71299999999999997</v>
          </cell>
          <cell r="BB35">
            <v>0.75</v>
          </cell>
          <cell r="BC35">
            <v>0.75</v>
          </cell>
          <cell r="BD35">
            <v>0.71299999999999997</v>
          </cell>
          <cell r="BE35">
            <v>0.75</v>
          </cell>
          <cell r="BF35">
            <v>0.8</v>
          </cell>
          <cell r="BG35">
            <v>0.75</v>
          </cell>
          <cell r="BH35">
            <v>0.75</v>
          </cell>
          <cell r="BI35">
            <v>0.82</v>
          </cell>
          <cell r="BJ35">
            <v>0.6</v>
          </cell>
          <cell r="BK35">
            <v>2.5000000000000001E-2</v>
          </cell>
          <cell r="BL35" t="str">
            <v>%PMP</v>
          </cell>
          <cell r="BM35">
            <v>1.4E-2</v>
          </cell>
          <cell r="BN35">
            <v>1.0500000000000001E-2</v>
          </cell>
          <cell r="BO35">
            <v>1.06E-2</v>
          </cell>
          <cell r="BP35">
            <v>7.1000000000000004E-3</v>
          </cell>
          <cell r="BQ35">
            <v>1.4E-2</v>
          </cell>
          <cell r="BR35">
            <v>1.0500000000000001E-2</v>
          </cell>
          <cell r="BS35">
            <v>1.06E-2</v>
          </cell>
          <cell r="BT35">
            <v>7.1000000000000004E-3</v>
          </cell>
          <cell r="BU35">
            <v>1.1200000000000002E-2</v>
          </cell>
          <cell r="BV35">
            <v>5.8800000000000007E-3</v>
          </cell>
          <cell r="BW35">
            <v>8.4799999999999997E-3</v>
          </cell>
          <cell r="BX35">
            <v>3.4080000000000004E-3</v>
          </cell>
          <cell r="BY35">
            <v>1.2320000000000003E-2</v>
          </cell>
          <cell r="BZ35">
            <v>6.9300000000000013E-3</v>
          </cell>
          <cell r="CA35">
            <v>8.9600000000000009E-3</v>
          </cell>
          <cell r="CB35">
            <v>4.7039999999999998E-3</v>
          </cell>
          <cell r="CC35">
            <v>6.7840000000000001E-3</v>
          </cell>
          <cell r="CD35">
            <v>2.7263999999999999E-3</v>
          </cell>
          <cell r="CE35">
            <v>8.9600000000000009E-3</v>
          </cell>
          <cell r="CF35">
            <v>4.7039999999999998E-3</v>
          </cell>
          <cell r="CG35">
            <v>6.7840000000000001E-3</v>
          </cell>
          <cell r="CH35">
            <v>2.7263999999999999E-3</v>
          </cell>
          <cell r="CI35">
            <v>1.3100000000000001E-2</v>
          </cell>
          <cell r="CJ35">
            <v>9.6000000000000009E-3</v>
          </cell>
          <cell r="CK35">
            <v>1.18E-2</v>
          </cell>
          <cell r="CL35">
            <v>8.3000000000000001E-3</v>
          </cell>
          <cell r="CM35">
            <v>1.3100000000000001E-2</v>
          </cell>
          <cell r="CN35">
            <v>9.6000000000000009E-3</v>
          </cell>
          <cell r="CO35">
            <v>1.18E-2</v>
          </cell>
          <cell r="CP35">
            <v>8.3000000000000001E-3</v>
          </cell>
          <cell r="CQ35">
            <v>1.0063256512499504E-2</v>
          </cell>
          <cell r="CR35">
            <v>4.9991661384674946E-3</v>
          </cell>
          <cell r="CS35">
            <v>8.6349233300802193E-3</v>
          </cell>
          <cell r="CT35">
            <v>3.46695417914499E-3</v>
          </cell>
          <cell r="CU35">
            <v>1.1069582163749456E-2</v>
          </cell>
          <cell r="CV35">
            <v>5.8918743774795477E-3</v>
          </cell>
          <cell r="CW35">
            <v>8.0506052099996034E-3</v>
          </cell>
          <cell r="CX35">
            <v>4.0447798756691553E-3</v>
          </cell>
          <cell r="CY35">
            <v>6.8819689698383707E-3</v>
          </cell>
          <cell r="CZ35">
            <v>2.7657724350482506E-3</v>
          </cell>
          <cell r="DA35">
            <v>8.0506052099996034E-3</v>
          </cell>
          <cell r="DB35">
            <v>4.0447798756691553E-3</v>
          </cell>
          <cell r="DC35">
            <v>6.8819689698383707E-3</v>
          </cell>
          <cell r="DD35">
            <v>2.7657724350482506E-3</v>
          </cell>
          <cell r="DE35">
            <v>1.0999999999999999E-2</v>
          </cell>
          <cell r="DF35">
            <v>7.4999999999999997E-3</v>
          </cell>
          <cell r="DG35">
            <v>9.7000000000000003E-3</v>
          </cell>
          <cell r="DH35">
            <v>6.1999999999999998E-3</v>
          </cell>
          <cell r="DI35">
            <v>1.83E-2</v>
          </cell>
          <cell r="DJ35">
            <v>1.4800000000000001E-2</v>
          </cell>
          <cell r="DK35">
            <v>1.61E-2</v>
          </cell>
          <cell r="DL35">
            <v>1.26E-2</v>
          </cell>
          <cell r="DM35">
            <v>1.0999999999999999E-2</v>
          </cell>
          <cell r="DN35">
            <v>7.5000000000000006E-3</v>
          </cell>
          <cell r="DO35">
            <v>9.6999999999999986E-3</v>
          </cell>
          <cell r="DP35">
            <v>6.2000000000000006E-3</v>
          </cell>
          <cell r="DQ35">
            <v>1.0999999999999999E-2</v>
          </cell>
          <cell r="DR35">
            <v>7.5000000000000006E-3</v>
          </cell>
          <cell r="DS35">
            <v>9.6999999999999986E-3</v>
          </cell>
          <cell r="DT35">
            <v>6.2000000000000006E-3</v>
          </cell>
          <cell r="DU35">
            <v>8.8000000000000005E-3</v>
          </cell>
          <cell r="DV35">
            <v>5.4000000000000003E-3</v>
          </cell>
          <cell r="DW35">
            <v>7.7999999999999996E-3</v>
          </cell>
          <cell r="DX35">
            <v>4.0000000000000001E-3</v>
          </cell>
          <cell r="DY35">
            <v>9.7000000000000003E-3</v>
          </cell>
          <cell r="DZ35">
            <v>6.0000000000000001E-3</v>
          </cell>
          <cell r="EA35">
            <v>7.3000000000000001E-3</v>
          </cell>
          <cell r="EB35">
            <v>4.4999999999999997E-3</v>
          </cell>
          <cell r="EC35">
            <v>6.4999999999999997E-3</v>
          </cell>
          <cell r="ED35">
            <v>3.3E-3</v>
          </cell>
          <cell r="EE35">
            <v>7.3000000000000001E-3</v>
          </cell>
          <cell r="EF35">
            <v>4.4999999999999997E-3</v>
          </cell>
          <cell r="EG35">
            <v>6.4999999999999997E-3</v>
          </cell>
          <cell r="EH35">
            <v>3.3E-3</v>
          </cell>
          <cell r="EI35">
            <v>1.83E-2</v>
          </cell>
          <cell r="EJ35">
            <v>1.4800000000000001E-2</v>
          </cell>
          <cell r="EK35">
            <v>1.61E-2</v>
          </cell>
          <cell r="EL35">
            <v>1.26E-2</v>
          </cell>
          <cell r="EM35">
            <v>1.0999999999999999E-2</v>
          </cell>
          <cell r="EN35">
            <v>7.5000000000000006E-3</v>
          </cell>
          <cell r="EO35">
            <v>9.6999999999999986E-3</v>
          </cell>
          <cell r="EP35">
            <v>6.2000000000000006E-3</v>
          </cell>
          <cell r="EQ35">
            <v>1.0999999999999999E-2</v>
          </cell>
          <cell r="ER35">
            <v>7.5000000000000006E-3</v>
          </cell>
          <cell r="ES35">
            <v>9.6999999999999986E-3</v>
          </cell>
          <cell r="ET35">
            <v>6.2000000000000006E-3</v>
          </cell>
          <cell r="EU35">
            <v>8.8000000000000005E-3</v>
          </cell>
          <cell r="EV35">
            <v>5.4000000000000003E-3</v>
          </cell>
          <cell r="EW35">
            <v>7.7999999999999996E-3</v>
          </cell>
          <cell r="EX35">
            <v>4.0000000000000001E-3</v>
          </cell>
          <cell r="EY35">
            <v>9.7000000000000003E-3</v>
          </cell>
          <cell r="EZ35">
            <v>6.0000000000000001E-3</v>
          </cell>
          <cell r="FA35">
            <v>7.3000000000000001E-3</v>
          </cell>
          <cell r="FB35">
            <v>4.4999999999999997E-3</v>
          </cell>
          <cell r="FC35">
            <v>6.4999999999999997E-3</v>
          </cell>
          <cell r="FD35">
            <v>3.3E-3</v>
          </cell>
          <cell r="FE35">
            <v>7.3000000000000001E-3</v>
          </cell>
          <cell r="FF35">
            <v>4.4999999999999997E-3</v>
          </cell>
          <cell r="FG35">
            <v>6.4999999999999997E-3</v>
          </cell>
          <cell r="FH35">
            <v>3.3E-3</v>
          </cell>
          <cell r="FI35">
            <v>2.76E-2</v>
          </cell>
          <cell r="FJ35">
            <v>2.4E-2</v>
          </cell>
          <cell r="FK35">
            <v>2.47E-2</v>
          </cell>
          <cell r="FL35">
            <v>2.1100000000000001E-2</v>
          </cell>
          <cell r="FM35">
            <v>2.76E-2</v>
          </cell>
          <cell r="FN35">
            <v>2.4E-2</v>
          </cell>
          <cell r="FO35">
            <v>2.47E-2</v>
          </cell>
          <cell r="FP35">
            <v>2.1100000000000001E-2</v>
          </cell>
          <cell r="FQ35">
            <v>1.11E-2</v>
          </cell>
          <cell r="FR35">
            <v>8.8000000000000005E-3</v>
          </cell>
          <cell r="FS35">
            <v>8.3999999999999995E-3</v>
          </cell>
          <cell r="FT35">
            <v>5.7999999999999996E-3</v>
          </cell>
          <cell r="FU35">
            <v>1.23E-2</v>
          </cell>
          <cell r="FV35">
            <v>9.1000000000000004E-3</v>
          </cell>
          <cell r="FW35">
            <v>9.7000000000000003E-3</v>
          </cell>
          <cell r="FX35">
            <v>7.6E-3</v>
          </cell>
          <cell r="FY35">
            <v>7.3000000000000001E-3</v>
          </cell>
          <cell r="FZ35">
            <v>5.0000000000000001E-3</v>
          </cell>
          <cell r="GA35">
            <v>9.7000000000000003E-3</v>
          </cell>
          <cell r="GB35">
            <v>7.6E-3</v>
          </cell>
          <cell r="GC35">
            <v>7.3000000000000001E-3</v>
          </cell>
          <cell r="GD35">
            <v>5.0000000000000001E-3</v>
          </cell>
          <cell r="GE35">
            <v>2.18E-2</v>
          </cell>
          <cell r="GF35">
            <v>1.9300000000000001E-2</v>
          </cell>
          <cell r="GG35">
            <v>1.9799999999999998E-2</v>
          </cell>
          <cell r="GH35">
            <v>1.6299999999999999E-2</v>
          </cell>
          <cell r="GI35">
            <v>2.18E-2</v>
          </cell>
          <cell r="GJ35">
            <v>1.9300000000000001E-2</v>
          </cell>
          <cell r="GK35">
            <v>1.9799999999999998E-2</v>
          </cell>
          <cell r="GL35">
            <v>1.6299999999999999E-2</v>
          </cell>
          <cell r="GM35">
            <v>1.11E-2</v>
          </cell>
          <cell r="GN35">
            <v>8.3999999999999995E-3</v>
          </cell>
          <cell r="GO35">
            <v>8.3999999999999995E-3</v>
          </cell>
          <cell r="GP35">
            <v>5.5999999999999999E-3</v>
          </cell>
          <cell r="GQ35">
            <v>1.23E-2</v>
          </cell>
          <cell r="GR35">
            <v>8.8000000000000005E-3</v>
          </cell>
          <cell r="GS35">
            <v>9.7000000000000003E-3</v>
          </cell>
          <cell r="GT35">
            <v>7.3000000000000001E-3</v>
          </cell>
          <cell r="GU35">
            <v>7.3000000000000001E-3</v>
          </cell>
          <cell r="GV35">
            <v>4.7999999999999996E-3</v>
          </cell>
          <cell r="GW35">
            <v>9.7000000000000003E-3</v>
          </cell>
          <cell r="GX35">
            <v>7.3000000000000001E-3</v>
          </cell>
          <cell r="GY35">
            <v>7.3000000000000001E-3</v>
          </cell>
          <cell r="GZ35">
            <v>4.7999999999999996E-3</v>
          </cell>
          <cell r="HA35">
            <v>2.18E-2</v>
          </cell>
          <cell r="HB35">
            <v>1.9300000000000001E-2</v>
          </cell>
          <cell r="HC35">
            <v>1.9799999999999998E-2</v>
          </cell>
          <cell r="HD35">
            <v>1.6299999999999999E-2</v>
          </cell>
          <cell r="HE35">
            <v>2.18E-2</v>
          </cell>
          <cell r="HF35">
            <v>1.9300000000000001E-2</v>
          </cell>
          <cell r="HG35">
            <v>1.9799999999999998E-2</v>
          </cell>
          <cell r="HH35">
            <v>1.6299999999999999E-2</v>
          </cell>
          <cell r="HI35">
            <v>1.11E-2</v>
          </cell>
          <cell r="HJ35">
            <v>8.2000000000000007E-3</v>
          </cell>
          <cell r="HK35">
            <v>8.3999999999999995E-3</v>
          </cell>
          <cell r="HL35">
            <v>5.4000000000000003E-3</v>
          </cell>
          <cell r="HM35">
            <v>1.23E-2</v>
          </cell>
          <cell r="HN35">
            <v>8.6E-3</v>
          </cell>
          <cell r="HO35">
            <v>9.7000000000000003E-3</v>
          </cell>
          <cell r="HP35">
            <v>7.1000000000000004E-3</v>
          </cell>
          <cell r="HQ35">
            <v>7.3000000000000001E-3</v>
          </cell>
          <cell r="HR35">
            <v>4.7000000000000002E-3</v>
          </cell>
          <cell r="HS35">
            <v>9.7000000000000003E-3</v>
          </cell>
          <cell r="HT35">
            <v>7.1000000000000004E-3</v>
          </cell>
          <cell r="HU35">
            <v>7.3000000000000001E-3</v>
          </cell>
          <cell r="HV35">
            <v>4.7000000000000002E-3</v>
          </cell>
          <cell r="HW35" t="str">
            <v>%PPL</v>
          </cell>
        </row>
        <row r="36">
          <cell r="AC36" t="str">
            <v>DOD-GPP 3.0 PPA RES (Reseller) w PMA</v>
          </cell>
          <cell r="AD36" t="str">
            <v>Nokia</v>
          </cell>
          <cell r="AE36">
            <v>0</v>
          </cell>
          <cell r="AF36" t="str">
            <v>DOD-GPP 3.0 PPA RES (Reseller) w PMA-Nokia</v>
          </cell>
          <cell r="AK36" t="str">
            <v>APJ-C-PMA_PL</v>
          </cell>
          <cell r="AL36" t="str">
            <v>New APJ-C_PL_TS_RFE</v>
          </cell>
          <cell r="AM36" t="str">
            <v>New APJ-C_PL_TS_RFE_FY</v>
          </cell>
          <cell r="AN36" t="str">
            <v>New APJ-C_PL_TS_RFR</v>
          </cell>
          <cell r="AO36" t="str">
            <v>New APJ-C_PL_TS_RFR_FY</v>
          </cell>
          <cell r="AV36" t="str">
            <v>7750 MDA-e 10GE</v>
          </cell>
          <cell r="AW36">
            <v>0.8</v>
          </cell>
          <cell r="AX36">
            <v>0.7</v>
          </cell>
          <cell r="AY36">
            <v>0.75</v>
          </cell>
          <cell r="AZ36">
            <v>0.75</v>
          </cell>
          <cell r="BA36">
            <v>0.71299999999999997</v>
          </cell>
          <cell r="BB36">
            <v>0.75</v>
          </cell>
          <cell r="BC36">
            <v>0.75</v>
          </cell>
          <cell r="BD36">
            <v>0.71299999999999997</v>
          </cell>
          <cell r="BE36">
            <v>0.75</v>
          </cell>
          <cell r="BF36">
            <v>0.78</v>
          </cell>
          <cell r="BG36">
            <v>0.75</v>
          </cell>
          <cell r="BH36">
            <v>0.75</v>
          </cell>
          <cell r="BI36">
            <v>0.79</v>
          </cell>
          <cell r="BJ36">
            <v>0.6</v>
          </cell>
          <cell r="BK36">
            <v>2.5000000000000001E-2</v>
          </cell>
          <cell r="BL36" t="str">
            <v>%PMP</v>
          </cell>
          <cell r="BM36">
            <v>1.4E-2</v>
          </cell>
          <cell r="BN36">
            <v>1.0500000000000001E-2</v>
          </cell>
          <cell r="BO36">
            <v>1.06E-2</v>
          </cell>
          <cell r="BP36">
            <v>7.1000000000000004E-3</v>
          </cell>
          <cell r="BQ36">
            <v>1.4E-2</v>
          </cell>
          <cell r="BR36">
            <v>1.0500000000000001E-2</v>
          </cell>
          <cell r="BS36">
            <v>1.06E-2</v>
          </cell>
          <cell r="BT36">
            <v>7.1000000000000004E-3</v>
          </cell>
          <cell r="BU36">
            <v>1.1200000000000002E-2</v>
          </cell>
          <cell r="BV36">
            <v>5.8800000000000007E-3</v>
          </cell>
          <cell r="BW36">
            <v>8.4799999999999997E-3</v>
          </cell>
          <cell r="BX36">
            <v>3.4080000000000004E-3</v>
          </cell>
          <cell r="BY36">
            <v>1.2320000000000003E-2</v>
          </cell>
          <cell r="BZ36">
            <v>6.9300000000000013E-3</v>
          </cell>
          <cell r="CA36">
            <v>8.9600000000000009E-3</v>
          </cell>
          <cell r="CB36">
            <v>4.7039999999999998E-3</v>
          </cell>
          <cell r="CC36">
            <v>6.7840000000000001E-3</v>
          </cell>
          <cell r="CD36">
            <v>2.7263999999999999E-3</v>
          </cell>
          <cell r="CE36">
            <v>8.9600000000000009E-3</v>
          </cell>
          <cell r="CF36">
            <v>4.7039999999999998E-3</v>
          </cell>
          <cell r="CG36">
            <v>6.7840000000000001E-3</v>
          </cell>
          <cell r="CH36">
            <v>2.7263999999999999E-3</v>
          </cell>
          <cell r="CI36">
            <v>1.3100000000000001E-2</v>
          </cell>
          <cell r="CJ36">
            <v>9.6000000000000009E-3</v>
          </cell>
          <cell r="CK36">
            <v>1.18E-2</v>
          </cell>
          <cell r="CL36">
            <v>8.3000000000000001E-3</v>
          </cell>
          <cell r="CM36">
            <v>1.3100000000000001E-2</v>
          </cell>
          <cell r="CN36">
            <v>9.6000000000000009E-3</v>
          </cell>
          <cell r="CO36">
            <v>1.18E-2</v>
          </cell>
          <cell r="CP36">
            <v>8.3000000000000001E-3</v>
          </cell>
          <cell r="CQ36">
            <v>1.0063256512499504E-2</v>
          </cell>
          <cell r="CR36">
            <v>4.9991661384674946E-3</v>
          </cell>
          <cell r="CS36">
            <v>8.6349233300802193E-3</v>
          </cell>
          <cell r="CT36">
            <v>3.46695417914499E-3</v>
          </cell>
          <cell r="CU36">
            <v>1.1069582163749456E-2</v>
          </cell>
          <cell r="CV36">
            <v>5.8918743774795477E-3</v>
          </cell>
          <cell r="CW36">
            <v>8.0506052099996034E-3</v>
          </cell>
          <cell r="CX36">
            <v>4.0447798756691553E-3</v>
          </cell>
          <cell r="CY36">
            <v>6.8819689698383707E-3</v>
          </cell>
          <cell r="CZ36">
            <v>2.7657724350482506E-3</v>
          </cell>
          <cell r="DA36">
            <v>8.0506052099996034E-3</v>
          </cell>
          <cell r="DB36">
            <v>4.0447798756691553E-3</v>
          </cell>
          <cell r="DC36">
            <v>6.8819689698383707E-3</v>
          </cell>
          <cell r="DD36">
            <v>2.7657724350482506E-3</v>
          </cell>
          <cell r="DE36">
            <v>1.0999999999999999E-2</v>
          </cell>
          <cell r="DF36">
            <v>7.4999999999999997E-3</v>
          </cell>
          <cell r="DG36">
            <v>9.7000000000000003E-3</v>
          </cell>
          <cell r="DH36">
            <v>6.1999999999999998E-3</v>
          </cell>
          <cell r="DI36">
            <v>1.83E-2</v>
          </cell>
          <cell r="DJ36">
            <v>1.4800000000000001E-2</v>
          </cell>
          <cell r="DK36">
            <v>1.61E-2</v>
          </cell>
          <cell r="DL36">
            <v>1.26E-2</v>
          </cell>
          <cell r="DM36">
            <v>1.0999999999999999E-2</v>
          </cell>
          <cell r="DN36">
            <v>7.5000000000000006E-3</v>
          </cell>
          <cell r="DO36">
            <v>9.6999999999999986E-3</v>
          </cell>
          <cell r="DP36">
            <v>6.2000000000000006E-3</v>
          </cell>
          <cell r="DQ36">
            <v>1.0999999999999999E-2</v>
          </cell>
          <cell r="DR36">
            <v>7.5000000000000006E-3</v>
          </cell>
          <cell r="DS36">
            <v>9.6999999999999986E-3</v>
          </cell>
          <cell r="DT36">
            <v>6.2000000000000006E-3</v>
          </cell>
          <cell r="DU36">
            <v>8.8000000000000005E-3</v>
          </cell>
          <cell r="DV36">
            <v>5.4000000000000003E-3</v>
          </cell>
          <cell r="DW36">
            <v>7.7999999999999996E-3</v>
          </cell>
          <cell r="DX36">
            <v>4.0000000000000001E-3</v>
          </cell>
          <cell r="DY36">
            <v>9.7000000000000003E-3</v>
          </cell>
          <cell r="DZ36">
            <v>6.0000000000000001E-3</v>
          </cell>
          <cell r="EA36">
            <v>7.3000000000000001E-3</v>
          </cell>
          <cell r="EB36">
            <v>4.4999999999999997E-3</v>
          </cell>
          <cell r="EC36">
            <v>6.4999999999999997E-3</v>
          </cell>
          <cell r="ED36">
            <v>3.3E-3</v>
          </cell>
          <cell r="EE36">
            <v>7.3000000000000001E-3</v>
          </cell>
          <cell r="EF36">
            <v>4.4999999999999997E-3</v>
          </cell>
          <cell r="EG36">
            <v>6.4999999999999997E-3</v>
          </cell>
          <cell r="EH36">
            <v>3.3E-3</v>
          </cell>
          <cell r="EI36">
            <v>1.83E-2</v>
          </cell>
          <cell r="EJ36">
            <v>1.4800000000000001E-2</v>
          </cell>
          <cell r="EK36">
            <v>1.61E-2</v>
          </cell>
          <cell r="EL36">
            <v>1.26E-2</v>
          </cell>
          <cell r="EM36">
            <v>1.0999999999999999E-2</v>
          </cell>
          <cell r="EN36">
            <v>7.5000000000000006E-3</v>
          </cell>
          <cell r="EO36">
            <v>9.6999999999999986E-3</v>
          </cell>
          <cell r="EP36">
            <v>6.2000000000000006E-3</v>
          </cell>
          <cell r="EQ36">
            <v>1.0999999999999999E-2</v>
          </cell>
          <cell r="ER36">
            <v>7.5000000000000006E-3</v>
          </cell>
          <cell r="ES36">
            <v>9.6999999999999986E-3</v>
          </cell>
          <cell r="ET36">
            <v>6.2000000000000006E-3</v>
          </cell>
          <cell r="EU36">
            <v>8.8000000000000005E-3</v>
          </cell>
          <cell r="EV36">
            <v>5.4000000000000003E-3</v>
          </cell>
          <cell r="EW36">
            <v>7.7999999999999996E-3</v>
          </cell>
          <cell r="EX36">
            <v>4.0000000000000001E-3</v>
          </cell>
          <cell r="EY36">
            <v>9.7000000000000003E-3</v>
          </cell>
          <cell r="EZ36">
            <v>6.0000000000000001E-3</v>
          </cell>
          <cell r="FA36">
            <v>7.3000000000000001E-3</v>
          </cell>
          <cell r="FB36">
            <v>4.4999999999999997E-3</v>
          </cell>
          <cell r="FC36">
            <v>6.4999999999999997E-3</v>
          </cell>
          <cell r="FD36">
            <v>3.3E-3</v>
          </cell>
          <cell r="FE36">
            <v>7.3000000000000001E-3</v>
          </cell>
          <cell r="FF36">
            <v>4.4999999999999997E-3</v>
          </cell>
          <cell r="FG36">
            <v>6.4999999999999997E-3</v>
          </cell>
          <cell r="FH36">
            <v>3.3E-3</v>
          </cell>
          <cell r="FI36">
            <v>2.76E-2</v>
          </cell>
          <cell r="FJ36">
            <v>2.4E-2</v>
          </cell>
          <cell r="FK36">
            <v>2.47E-2</v>
          </cell>
          <cell r="FL36">
            <v>2.1100000000000001E-2</v>
          </cell>
          <cell r="FM36">
            <v>2.76E-2</v>
          </cell>
          <cell r="FN36">
            <v>2.4E-2</v>
          </cell>
          <cell r="FO36">
            <v>2.47E-2</v>
          </cell>
          <cell r="FP36">
            <v>2.1100000000000001E-2</v>
          </cell>
          <cell r="FQ36">
            <v>1.11E-2</v>
          </cell>
          <cell r="FR36">
            <v>8.8000000000000005E-3</v>
          </cell>
          <cell r="FS36">
            <v>8.3999999999999995E-3</v>
          </cell>
          <cell r="FT36">
            <v>5.7999999999999996E-3</v>
          </cell>
          <cell r="FU36">
            <v>1.23E-2</v>
          </cell>
          <cell r="FV36">
            <v>9.1000000000000004E-3</v>
          </cell>
          <cell r="FW36">
            <v>9.7000000000000003E-3</v>
          </cell>
          <cell r="FX36">
            <v>7.6E-3</v>
          </cell>
          <cell r="FY36">
            <v>7.3000000000000001E-3</v>
          </cell>
          <cell r="FZ36">
            <v>5.0000000000000001E-3</v>
          </cell>
          <cell r="GA36">
            <v>9.7000000000000003E-3</v>
          </cell>
          <cell r="GB36">
            <v>7.6E-3</v>
          </cell>
          <cell r="GC36">
            <v>7.3000000000000001E-3</v>
          </cell>
          <cell r="GD36">
            <v>5.0000000000000001E-3</v>
          </cell>
          <cell r="GE36">
            <v>2.18E-2</v>
          </cell>
          <cell r="GF36">
            <v>1.9300000000000001E-2</v>
          </cell>
          <cell r="GG36">
            <v>1.9799999999999998E-2</v>
          </cell>
          <cell r="GH36">
            <v>1.6299999999999999E-2</v>
          </cell>
          <cell r="GI36">
            <v>2.18E-2</v>
          </cell>
          <cell r="GJ36">
            <v>1.9300000000000001E-2</v>
          </cell>
          <cell r="GK36">
            <v>1.9799999999999998E-2</v>
          </cell>
          <cell r="GL36">
            <v>1.6299999999999999E-2</v>
          </cell>
          <cell r="GM36">
            <v>1.11E-2</v>
          </cell>
          <cell r="GN36">
            <v>8.3999999999999995E-3</v>
          </cell>
          <cell r="GO36">
            <v>8.3999999999999995E-3</v>
          </cell>
          <cell r="GP36">
            <v>5.5999999999999999E-3</v>
          </cell>
          <cell r="GQ36">
            <v>1.23E-2</v>
          </cell>
          <cell r="GR36">
            <v>8.8000000000000005E-3</v>
          </cell>
          <cell r="GS36">
            <v>9.7000000000000003E-3</v>
          </cell>
          <cell r="GT36">
            <v>7.3000000000000001E-3</v>
          </cell>
          <cell r="GU36">
            <v>7.3000000000000001E-3</v>
          </cell>
          <cell r="GV36">
            <v>4.7999999999999996E-3</v>
          </cell>
          <cell r="GW36">
            <v>9.7000000000000003E-3</v>
          </cell>
          <cell r="GX36">
            <v>7.3000000000000001E-3</v>
          </cell>
          <cell r="GY36">
            <v>7.3000000000000001E-3</v>
          </cell>
          <cell r="GZ36">
            <v>4.7999999999999996E-3</v>
          </cell>
          <cell r="HA36">
            <v>2.18E-2</v>
          </cell>
          <cell r="HB36">
            <v>1.9300000000000001E-2</v>
          </cell>
          <cell r="HC36">
            <v>1.9799999999999998E-2</v>
          </cell>
          <cell r="HD36">
            <v>1.6299999999999999E-2</v>
          </cell>
          <cell r="HE36">
            <v>2.18E-2</v>
          </cell>
          <cell r="HF36">
            <v>1.9300000000000001E-2</v>
          </cell>
          <cell r="HG36">
            <v>1.9799999999999998E-2</v>
          </cell>
          <cell r="HH36">
            <v>1.6299999999999999E-2</v>
          </cell>
          <cell r="HI36">
            <v>1.11E-2</v>
          </cell>
          <cell r="HJ36">
            <v>8.2000000000000007E-3</v>
          </cell>
          <cell r="HK36">
            <v>8.3999999999999995E-3</v>
          </cell>
          <cell r="HL36">
            <v>5.4000000000000003E-3</v>
          </cell>
          <cell r="HM36">
            <v>1.23E-2</v>
          </cell>
          <cell r="HN36">
            <v>8.6E-3</v>
          </cell>
          <cell r="HO36">
            <v>9.7000000000000003E-3</v>
          </cell>
          <cell r="HP36">
            <v>7.1000000000000004E-3</v>
          </cell>
          <cell r="HQ36">
            <v>7.3000000000000001E-3</v>
          </cell>
          <cell r="HR36">
            <v>4.7000000000000002E-3</v>
          </cell>
          <cell r="HS36">
            <v>9.7000000000000003E-3</v>
          </cell>
          <cell r="HT36">
            <v>7.1000000000000004E-3</v>
          </cell>
          <cell r="HU36">
            <v>7.3000000000000001E-3</v>
          </cell>
          <cell r="HV36">
            <v>4.7000000000000002E-3</v>
          </cell>
          <cell r="HW36" t="str">
            <v>%PPL</v>
          </cell>
        </row>
        <row r="37">
          <cell r="AC37" t="str">
            <v>DOD-GPP 3.0 PPA DIS (Distributor)</v>
          </cell>
          <cell r="AD37" t="str">
            <v>Distributor</v>
          </cell>
          <cell r="AE37">
            <v>0.11</v>
          </cell>
          <cell r="AF37" t="str">
            <v>DOD-GPP 3.0 PPA DIS (Distributor)-Distributor</v>
          </cell>
          <cell r="AK37" t="str">
            <v>NAR-ALE</v>
          </cell>
          <cell r="AL37" t="str">
            <v>New ALE_CPA_TS_GLD_RFE</v>
          </cell>
          <cell r="AM37" t="str">
            <v>New ALE_CPA_TS_GLD_RFE_FY</v>
          </cell>
          <cell r="AR37" t="str">
            <v>ALE_CPA_TS_BZE_RFE</v>
          </cell>
          <cell r="AS37" t="str">
            <v>ALE_CPA_TS_BZE_FY</v>
          </cell>
          <cell r="AV37" t="str">
            <v>7750 MDA-e GE</v>
          </cell>
          <cell r="AW37">
            <v>0.8</v>
          </cell>
          <cell r="AX37">
            <v>0.7</v>
          </cell>
          <cell r="AY37">
            <v>0.75</v>
          </cell>
          <cell r="AZ37">
            <v>0.75</v>
          </cell>
          <cell r="BA37">
            <v>0.71299999999999997</v>
          </cell>
          <cell r="BB37">
            <v>0.75</v>
          </cell>
          <cell r="BC37">
            <v>0.75</v>
          </cell>
          <cell r="BD37">
            <v>0.71299999999999997</v>
          </cell>
          <cell r="BE37">
            <v>0.75</v>
          </cell>
          <cell r="BF37">
            <v>0.8</v>
          </cell>
          <cell r="BG37">
            <v>0.75</v>
          </cell>
          <cell r="BH37">
            <v>0.75</v>
          </cell>
          <cell r="BI37">
            <v>0.84</v>
          </cell>
          <cell r="BJ37">
            <v>0.6</v>
          </cell>
          <cell r="BK37">
            <v>2.5000000000000001E-2</v>
          </cell>
          <cell r="BL37" t="str">
            <v>%PMP</v>
          </cell>
          <cell r="BM37">
            <v>1.4E-2</v>
          </cell>
          <cell r="BN37">
            <v>1.0500000000000001E-2</v>
          </cell>
          <cell r="BO37">
            <v>1.06E-2</v>
          </cell>
          <cell r="BP37">
            <v>7.1000000000000004E-3</v>
          </cell>
          <cell r="BQ37">
            <v>1.4E-2</v>
          </cell>
          <cell r="BR37">
            <v>1.0500000000000001E-2</v>
          </cell>
          <cell r="BS37">
            <v>1.06E-2</v>
          </cell>
          <cell r="BT37">
            <v>7.1000000000000004E-3</v>
          </cell>
          <cell r="BU37">
            <v>1.1200000000000002E-2</v>
          </cell>
          <cell r="BV37">
            <v>5.8800000000000007E-3</v>
          </cell>
          <cell r="BW37">
            <v>8.4799999999999997E-3</v>
          </cell>
          <cell r="BX37">
            <v>3.4080000000000004E-3</v>
          </cell>
          <cell r="BY37">
            <v>1.2320000000000003E-2</v>
          </cell>
          <cell r="BZ37">
            <v>6.9300000000000013E-3</v>
          </cell>
          <cell r="CA37">
            <v>8.9600000000000009E-3</v>
          </cell>
          <cell r="CB37">
            <v>4.7039999999999998E-3</v>
          </cell>
          <cell r="CC37">
            <v>6.7840000000000001E-3</v>
          </cell>
          <cell r="CD37">
            <v>2.7263999999999999E-3</v>
          </cell>
          <cell r="CE37">
            <v>8.9600000000000009E-3</v>
          </cell>
          <cell r="CF37">
            <v>4.7039999999999998E-3</v>
          </cell>
          <cell r="CG37">
            <v>6.7840000000000001E-3</v>
          </cell>
          <cell r="CH37">
            <v>2.7263999999999999E-3</v>
          </cell>
          <cell r="CI37">
            <v>1.3100000000000001E-2</v>
          </cell>
          <cell r="CJ37">
            <v>9.6000000000000009E-3</v>
          </cell>
          <cell r="CK37">
            <v>1.18E-2</v>
          </cell>
          <cell r="CL37">
            <v>8.3000000000000001E-3</v>
          </cell>
          <cell r="CM37">
            <v>1.3100000000000001E-2</v>
          </cell>
          <cell r="CN37">
            <v>9.6000000000000009E-3</v>
          </cell>
          <cell r="CO37">
            <v>1.18E-2</v>
          </cell>
          <cell r="CP37">
            <v>8.3000000000000001E-3</v>
          </cell>
          <cell r="CQ37">
            <v>1.0063256512499504E-2</v>
          </cell>
          <cell r="CR37">
            <v>4.9991661384674946E-3</v>
          </cell>
          <cell r="CS37">
            <v>8.6349233300802193E-3</v>
          </cell>
          <cell r="CT37">
            <v>3.46695417914499E-3</v>
          </cell>
          <cell r="CU37">
            <v>1.1069582163749456E-2</v>
          </cell>
          <cell r="CV37">
            <v>5.8918743774795477E-3</v>
          </cell>
          <cell r="CW37">
            <v>8.0506052099996034E-3</v>
          </cell>
          <cell r="CX37">
            <v>4.0447798756691553E-3</v>
          </cell>
          <cell r="CY37">
            <v>6.8819689698383707E-3</v>
          </cell>
          <cell r="CZ37">
            <v>2.7657724350482506E-3</v>
          </cell>
          <cell r="DA37">
            <v>8.0506052099996034E-3</v>
          </cell>
          <cell r="DB37">
            <v>4.0447798756691553E-3</v>
          </cell>
          <cell r="DC37">
            <v>6.8819689698383707E-3</v>
          </cell>
          <cell r="DD37">
            <v>2.7657724350482506E-3</v>
          </cell>
          <cell r="DE37">
            <v>1.0999999999999999E-2</v>
          </cell>
          <cell r="DF37">
            <v>7.4999999999999997E-3</v>
          </cell>
          <cell r="DG37">
            <v>9.7000000000000003E-3</v>
          </cell>
          <cell r="DH37">
            <v>6.1999999999999998E-3</v>
          </cell>
          <cell r="DI37">
            <v>1.83E-2</v>
          </cell>
          <cell r="DJ37">
            <v>1.4800000000000001E-2</v>
          </cell>
          <cell r="DK37">
            <v>1.61E-2</v>
          </cell>
          <cell r="DL37">
            <v>1.26E-2</v>
          </cell>
          <cell r="DM37">
            <v>1.0999999999999999E-2</v>
          </cell>
          <cell r="DN37">
            <v>7.5000000000000006E-3</v>
          </cell>
          <cell r="DO37">
            <v>9.6999999999999986E-3</v>
          </cell>
          <cell r="DP37">
            <v>6.2000000000000006E-3</v>
          </cell>
          <cell r="DQ37">
            <v>1.0999999999999999E-2</v>
          </cell>
          <cell r="DR37">
            <v>7.5000000000000006E-3</v>
          </cell>
          <cell r="DS37">
            <v>9.6999999999999986E-3</v>
          </cell>
          <cell r="DT37">
            <v>6.2000000000000006E-3</v>
          </cell>
          <cell r="DU37">
            <v>8.8000000000000005E-3</v>
          </cell>
          <cell r="DV37">
            <v>5.4000000000000003E-3</v>
          </cell>
          <cell r="DW37">
            <v>7.7999999999999996E-3</v>
          </cell>
          <cell r="DX37">
            <v>4.0000000000000001E-3</v>
          </cell>
          <cell r="DY37">
            <v>9.7000000000000003E-3</v>
          </cell>
          <cell r="DZ37">
            <v>6.0000000000000001E-3</v>
          </cell>
          <cell r="EA37">
            <v>7.3000000000000001E-3</v>
          </cell>
          <cell r="EB37">
            <v>4.4999999999999997E-3</v>
          </cell>
          <cell r="EC37">
            <v>6.4999999999999997E-3</v>
          </cell>
          <cell r="ED37">
            <v>3.3E-3</v>
          </cell>
          <cell r="EE37">
            <v>7.3000000000000001E-3</v>
          </cell>
          <cell r="EF37">
            <v>4.4999999999999997E-3</v>
          </cell>
          <cell r="EG37">
            <v>6.4999999999999997E-3</v>
          </cell>
          <cell r="EH37">
            <v>3.3E-3</v>
          </cell>
          <cell r="EI37">
            <v>1.83E-2</v>
          </cell>
          <cell r="EJ37">
            <v>1.4800000000000001E-2</v>
          </cell>
          <cell r="EK37">
            <v>1.61E-2</v>
          </cell>
          <cell r="EL37">
            <v>1.26E-2</v>
          </cell>
          <cell r="EM37">
            <v>1.0999999999999999E-2</v>
          </cell>
          <cell r="EN37">
            <v>7.5000000000000006E-3</v>
          </cell>
          <cell r="EO37">
            <v>9.6999999999999986E-3</v>
          </cell>
          <cell r="EP37">
            <v>6.2000000000000006E-3</v>
          </cell>
          <cell r="EQ37">
            <v>1.0999999999999999E-2</v>
          </cell>
          <cell r="ER37">
            <v>7.5000000000000006E-3</v>
          </cell>
          <cell r="ES37">
            <v>9.6999999999999986E-3</v>
          </cell>
          <cell r="ET37">
            <v>6.2000000000000006E-3</v>
          </cell>
          <cell r="EU37">
            <v>8.8000000000000005E-3</v>
          </cell>
          <cell r="EV37">
            <v>5.4000000000000003E-3</v>
          </cell>
          <cell r="EW37">
            <v>7.7999999999999996E-3</v>
          </cell>
          <cell r="EX37">
            <v>4.0000000000000001E-3</v>
          </cell>
          <cell r="EY37">
            <v>9.7000000000000003E-3</v>
          </cell>
          <cell r="EZ37">
            <v>6.0000000000000001E-3</v>
          </cell>
          <cell r="FA37">
            <v>7.3000000000000001E-3</v>
          </cell>
          <cell r="FB37">
            <v>4.4999999999999997E-3</v>
          </cell>
          <cell r="FC37">
            <v>6.4999999999999997E-3</v>
          </cell>
          <cell r="FD37">
            <v>3.3E-3</v>
          </cell>
          <cell r="FE37">
            <v>7.3000000000000001E-3</v>
          </cell>
          <cell r="FF37">
            <v>4.4999999999999997E-3</v>
          </cell>
          <cell r="FG37">
            <v>6.4999999999999997E-3</v>
          </cell>
          <cell r="FH37">
            <v>3.3E-3</v>
          </cell>
          <cell r="FI37">
            <v>2.76E-2</v>
          </cell>
          <cell r="FJ37">
            <v>2.4E-2</v>
          </cell>
          <cell r="FK37">
            <v>2.47E-2</v>
          </cell>
          <cell r="FL37">
            <v>2.1100000000000001E-2</v>
          </cell>
          <cell r="FM37">
            <v>2.76E-2</v>
          </cell>
          <cell r="FN37">
            <v>2.4E-2</v>
          </cell>
          <cell r="FO37">
            <v>2.47E-2</v>
          </cell>
          <cell r="FP37">
            <v>2.1100000000000001E-2</v>
          </cell>
          <cell r="FQ37">
            <v>1.11E-2</v>
          </cell>
          <cell r="FR37">
            <v>8.8000000000000005E-3</v>
          </cell>
          <cell r="FS37">
            <v>8.3999999999999995E-3</v>
          </cell>
          <cell r="FT37">
            <v>5.7999999999999996E-3</v>
          </cell>
          <cell r="FU37">
            <v>1.23E-2</v>
          </cell>
          <cell r="FV37">
            <v>9.1000000000000004E-3</v>
          </cell>
          <cell r="FW37">
            <v>9.7000000000000003E-3</v>
          </cell>
          <cell r="FX37">
            <v>7.6E-3</v>
          </cell>
          <cell r="FY37">
            <v>7.3000000000000001E-3</v>
          </cell>
          <cell r="FZ37">
            <v>5.0000000000000001E-3</v>
          </cell>
          <cell r="GA37">
            <v>9.7000000000000003E-3</v>
          </cell>
          <cell r="GB37">
            <v>7.6E-3</v>
          </cell>
          <cell r="GC37">
            <v>7.3000000000000001E-3</v>
          </cell>
          <cell r="GD37">
            <v>5.0000000000000001E-3</v>
          </cell>
          <cell r="GE37">
            <v>2.18E-2</v>
          </cell>
          <cell r="GF37">
            <v>1.9300000000000001E-2</v>
          </cell>
          <cell r="GG37">
            <v>1.9799999999999998E-2</v>
          </cell>
          <cell r="GH37">
            <v>1.6299999999999999E-2</v>
          </cell>
          <cell r="GI37">
            <v>2.18E-2</v>
          </cell>
          <cell r="GJ37">
            <v>1.9300000000000001E-2</v>
          </cell>
          <cell r="GK37">
            <v>1.9799999999999998E-2</v>
          </cell>
          <cell r="GL37">
            <v>1.6299999999999999E-2</v>
          </cell>
          <cell r="GM37">
            <v>1.11E-2</v>
          </cell>
          <cell r="GN37">
            <v>8.3999999999999995E-3</v>
          </cell>
          <cell r="GO37">
            <v>8.3999999999999995E-3</v>
          </cell>
          <cell r="GP37">
            <v>5.5999999999999999E-3</v>
          </cell>
          <cell r="GQ37">
            <v>1.23E-2</v>
          </cell>
          <cell r="GR37">
            <v>8.8000000000000005E-3</v>
          </cell>
          <cell r="GS37">
            <v>9.7000000000000003E-3</v>
          </cell>
          <cell r="GT37">
            <v>7.3000000000000001E-3</v>
          </cell>
          <cell r="GU37">
            <v>7.3000000000000001E-3</v>
          </cell>
          <cell r="GV37">
            <v>4.7999999999999996E-3</v>
          </cell>
          <cell r="GW37">
            <v>9.7000000000000003E-3</v>
          </cell>
          <cell r="GX37">
            <v>7.3000000000000001E-3</v>
          </cell>
          <cell r="GY37">
            <v>7.3000000000000001E-3</v>
          </cell>
          <cell r="GZ37">
            <v>4.7999999999999996E-3</v>
          </cell>
          <cell r="HA37">
            <v>2.18E-2</v>
          </cell>
          <cell r="HB37">
            <v>1.9300000000000001E-2</v>
          </cell>
          <cell r="HC37">
            <v>1.9799999999999998E-2</v>
          </cell>
          <cell r="HD37">
            <v>1.6299999999999999E-2</v>
          </cell>
          <cell r="HE37">
            <v>2.18E-2</v>
          </cell>
          <cell r="HF37">
            <v>1.9300000000000001E-2</v>
          </cell>
          <cell r="HG37">
            <v>1.9799999999999998E-2</v>
          </cell>
          <cell r="HH37">
            <v>1.6299999999999999E-2</v>
          </cell>
          <cell r="HI37">
            <v>1.11E-2</v>
          </cell>
          <cell r="HJ37">
            <v>8.2000000000000007E-3</v>
          </cell>
          <cell r="HK37">
            <v>8.3999999999999995E-3</v>
          </cell>
          <cell r="HL37">
            <v>5.4000000000000003E-3</v>
          </cell>
          <cell r="HM37">
            <v>1.23E-2</v>
          </cell>
          <cell r="HN37">
            <v>8.6E-3</v>
          </cell>
          <cell r="HO37">
            <v>9.7000000000000003E-3</v>
          </cell>
          <cell r="HP37">
            <v>7.1000000000000004E-3</v>
          </cell>
          <cell r="HQ37">
            <v>7.3000000000000001E-3</v>
          </cell>
          <cell r="HR37">
            <v>4.7000000000000002E-3</v>
          </cell>
          <cell r="HS37">
            <v>9.7000000000000003E-3</v>
          </cell>
          <cell r="HT37">
            <v>7.1000000000000004E-3</v>
          </cell>
          <cell r="HU37">
            <v>7.3000000000000001E-3</v>
          </cell>
          <cell r="HV37">
            <v>4.7000000000000002E-3</v>
          </cell>
          <cell r="HW37" t="str">
            <v>%PPL</v>
          </cell>
        </row>
        <row r="38">
          <cell r="AC38" t="str">
            <v>DOD-GPP 3.0 PPA DIS (Distributor)</v>
          </cell>
          <cell r="AD38" t="str">
            <v>Nokia</v>
          </cell>
          <cell r="AE38">
            <v>0</v>
          </cell>
          <cell r="AF38" t="str">
            <v>DOD-GPP 3.0 PPA DIS (Distributor)-Nokia</v>
          </cell>
          <cell r="AK38" t="str">
            <v>CALA-ALE</v>
          </cell>
          <cell r="AL38" t="str">
            <v>New ALE_CPA_TS_GLD_RFE</v>
          </cell>
          <cell r="AM38" t="str">
            <v>New ALE_CPA_TS_GLD_RFE_FY</v>
          </cell>
          <cell r="AR38" t="str">
            <v>ALE_CPA_TS_BZE_RFE</v>
          </cell>
          <cell r="AS38" t="str">
            <v>ALE_CPA_TS_BZE_FY</v>
          </cell>
          <cell r="AV38" t="str">
            <v>7750 MDA-e-XP</v>
          </cell>
          <cell r="AW38">
            <v>0.8</v>
          </cell>
          <cell r="AX38">
            <v>0.7</v>
          </cell>
          <cell r="AY38">
            <v>0.75</v>
          </cell>
          <cell r="AZ38">
            <v>0.75</v>
          </cell>
          <cell r="BA38">
            <v>0.71299999999999997</v>
          </cell>
          <cell r="BB38">
            <v>0.75</v>
          </cell>
          <cell r="BC38">
            <v>0.75</v>
          </cell>
          <cell r="BD38">
            <v>0.71299999999999997</v>
          </cell>
          <cell r="BE38">
            <v>0.75</v>
          </cell>
          <cell r="BF38">
            <v>0.78</v>
          </cell>
          <cell r="BG38">
            <v>0.75</v>
          </cell>
          <cell r="BH38">
            <v>0.75</v>
          </cell>
          <cell r="BI38">
            <v>0.78</v>
          </cell>
          <cell r="BJ38">
            <v>0.6</v>
          </cell>
          <cell r="BK38">
            <v>2.5000000000000001E-2</v>
          </cell>
          <cell r="BL38" t="str">
            <v>%PMP</v>
          </cell>
          <cell r="BM38">
            <v>1.4E-2</v>
          </cell>
          <cell r="BN38">
            <v>1.0500000000000001E-2</v>
          </cell>
          <cell r="BO38">
            <v>1.06E-2</v>
          </cell>
          <cell r="BP38">
            <v>7.1000000000000004E-3</v>
          </cell>
          <cell r="BQ38">
            <v>1.4E-2</v>
          </cell>
          <cell r="BR38">
            <v>1.0500000000000001E-2</v>
          </cell>
          <cell r="BS38">
            <v>1.06E-2</v>
          </cell>
          <cell r="BT38">
            <v>7.1000000000000004E-3</v>
          </cell>
          <cell r="BU38">
            <v>1.1200000000000002E-2</v>
          </cell>
          <cell r="BV38">
            <v>5.8800000000000007E-3</v>
          </cell>
          <cell r="BW38">
            <v>8.4799999999999997E-3</v>
          </cell>
          <cell r="BX38">
            <v>3.4080000000000004E-3</v>
          </cell>
          <cell r="BY38">
            <v>1.2320000000000003E-2</v>
          </cell>
          <cell r="BZ38">
            <v>6.9300000000000013E-3</v>
          </cell>
          <cell r="CA38">
            <v>8.9600000000000009E-3</v>
          </cell>
          <cell r="CB38">
            <v>4.7039999999999998E-3</v>
          </cell>
          <cell r="CC38">
            <v>6.7840000000000001E-3</v>
          </cell>
          <cell r="CD38">
            <v>2.7263999999999999E-3</v>
          </cell>
          <cell r="CE38">
            <v>8.9600000000000009E-3</v>
          </cell>
          <cell r="CF38">
            <v>4.7039999999999998E-3</v>
          </cell>
          <cell r="CG38">
            <v>6.7840000000000001E-3</v>
          </cell>
          <cell r="CH38">
            <v>2.7263999999999999E-3</v>
          </cell>
          <cell r="CI38">
            <v>1.3100000000000001E-2</v>
          </cell>
          <cell r="CJ38">
            <v>9.6000000000000009E-3</v>
          </cell>
          <cell r="CK38">
            <v>1.18E-2</v>
          </cell>
          <cell r="CL38">
            <v>8.3000000000000001E-3</v>
          </cell>
          <cell r="CM38">
            <v>1.3100000000000001E-2</v>
          </cell>
          <cell r="CN38">
            <v>9.6000000000000009E-3</v>
          </cell>
          <cell r="CO38">
            <v>1.18E-2</v>
          </cell>
          <cell r="CP38">
            <v>8.3000000000000001E-3</v>
          </cell>
          <cell r="CQ38">
            <v>1.0063256512499504E-2</v>
          </cell>
          <cell r="CR38">
            <v>4.9991661384674946E-3</v>
          </cell>
          <cell r="CS38">
            <v>8.6349233300802193E-3</v>
          </cell>
          <cell r="CT38">
            <v>3.46695417914499E-3</v>
          </cell>
          <cell r="CU38">
            <v>1.1069582163749456E-2</v>
          </cell>
          <cell r="CV38">
            <v>5.8918743774795477E-3</v>
          </cell>
          <cell r="CW38">
            <v>8.0506052099996034E-3</v>
          </cell>
          <cell r="CX38">
            <v>4.0447798756691553E-3</v>
          </cell>
          <cell r="CY38">
            <v>6.8819689698383707E-3</v>
          </cell>
          <cell r="CZ38">
            <v>2.7657724350482506E-3</v>
          </cell>
          <cell r="DA38">
            <v>8.0506052099996034E-3</v>
          </cell>
          <cell r="DB38">
            <v>4.0447798756691553E-3</v>
          </cell>
          <cell r="DC38">
            <v>6.8819689698383707E-3</v>
          </cell>
          <cell r="DD38">
            <v>2.7657724350482506E-3</v>
          </cell>
          <cell r="DE38">
            <v>1.0999999999999999E-2</v>
          </cell>
          <cell r="DF38">
            <v>7.4999999999999997E-3</v>
          </cell>
          <cell r="DG38">
            <v>9.7000000000000003E-3</v>
          </cell>
          <cell r="DH38">
            <v>6.1999999999999998E-3</v>
          </cell>
          <cell r="DI38">
            <v>1.83E-2</v>
          </cell>
          <cell r="DJ38">
            <v>1.4800000000000001E-2</v>
          </cell>
          <cell r="DK38">
            <v>1.61E-2</v>
          </cell>
          <cell r="DL38">
            <v>1.26E-2</v>
          </cell>
          <cell r="DM38">
            <v>1.0999999999999999E-2</v>
          </cell>
          <cell r="DN38">
            <v>7.5000000000000006E-3</v>
          </cell>
          <cell r="DO38">
            <v>9.6999999999999986E-3</v>
          </cell>
          <cell r="DP38">
            <v>6.2000000000000006E-3</v>
          </cell>
          <cell r="DQ38">
            <v>1.0999999999999999E-2</v>
          </cell>
          <cell r="DR38">
            <v>7.5000000000000006E-3</v>
          </cell>
          <cell r="DS38">
            <v>9.6999999999999986E-3</v>
          </cell>
          <cell r="DT38">
            <v>6.2000000000000006E-3</v>
          </cell>
          <cell r="DU38">
            <v>8.8000000000000005E-3</v>
          </cell>
          <cell r="DV38">
            <v>5.4000000000000003E-3</v>
          </cell>
          <cell r="DW38">
            <v>7.7999999999999996E-3</v>
          </cell>
          <cell r="DX38">
            <v>4.0000000000000001E-3</v>
          </cell>
          <cell r="DY38">
            <v>9.7000000000000003E-3</v>
          </cell>
          <cell r="DZ38">
            <v>6.0000000000000001E-3</v>
          </cell>
          <cell r="EA38">
            <v>7.3000000000000001E-3</v>
          </cell>
          <cell r="EB38">
            <v>4.4999999999999997E-3</v>
          </cell>
          <cell r="EC38">
            <v>6.4999999999999997E-3</v>
          </cell>
          <cell r="ED38">
            <v>3.3E-3</v>
          </cell>
          <cell r="EE38">
            <v>7.3000000000000001E-3</v>
          </cell>
          <cell r="EF38">
            <v>4.4999999999999997E-3</v>
          </cell>
          <cell r="EG38">
            <v>6.4999999999999997E-3</v>
          </cell>
          <cell r="EH38">
            <v>3.3E-3</v>
          </cell>
          <cell r="EI38">
            <v>1.83E-2</v>
          </cell>
          <cell r="EJ38">
            <v>1.4800000000000001E-2</v>
          </cell>
          <cell r="EK38">
            <v>1.61E-2</v>
          </cell>
          <cell r="EL38">
            <v>1.26E-2</v>
          </cell>
          <cell r="EM38">
            <v>1.0999999999999999E-2</v>
          </cell>
          <cell r="EN38">
            <v>7.5000000000000006E-3</v>
          </cell>
          <cell r="EO38">
            <v>9.6999999999999986E-3</v>
          </cell>
          <cell r="EP38">
            <v>6.2000000000000006E-3</v>
          </cell>
          <cell r="EQ38">
            <v>1.0999999999999999E-2</v>
          </cell>
          <cell r="ER38">
            <v>7.5000000000000006E-3</v>
          </cell>
          <cell r="ES38">
            <v>9.6999999999999986E-3</v>
          </cell>
          <cell r="ET38">
            <v>6.2000000000000006E-3</v>
          </cell>
          <cell r="EU38">
            <v>8.8000000000000005E-3</v>
          </cell>
          <cell r="EV38">
            <v>5.4000000000000003E-3</v>
          </cell>
          <cell r="EW38">
            <v>7.7999999999999996E-3</v>
          </cell>
          <cell r="EX38">
            <v>4.0000000000000001E-3</v>
          </cell>
          <cell r="EY38">
            <v>9.7000000000000003E-3</v>
          </cell>
          <cell r="EZ38">
            <v>6.0000000000000001E-3</v>
          </cell>
          <cell r="FA38">
            <v>7.3000000000000001E-3</v>
          </cell>
          <cell r="FB38">
            <v>4.4999999999999997E-3</v>
          </cell>
          <cell r="FC38">
            <v>6.4999999999999997E-3</v>
          </cell>
          <cell r="FD38">
            <v>3.3E-3</v>
          </cell>
          <cell r="FE38">
            <v>7.3000000000000001E-3</v>
          </cell>
          <cell r="FF38">
            <v>4.4999999999999997E-3</v>
          </cell>
          <cell r="FG38">
            <v>6.4999999999999997E-3</v>
          </cell>
          <cell r="FH38">
            <v>3.3E-3</v>
          </cell>
          <cell r="FI38">
            <v>2.76E-2</v>
          </cell>
          <cell r="FJ38">
            <v>2.4E-2</v>
          </cell>
          <cell r="FK38">
            <v>2.47E-2</v>
          </cell>
          <cell r="FL38">
            <v>2.1100000000000001E-2</v>
          </cell>
          <cell r="FM38">
            <v>2.76E-2</v>
          </cell>
          <cell r="FN38">
            <v>2.4E-2</v>
          </cell>
          <cell r="FO38">
            <v>2.47E-2</v>
          </cell>
          <cell r="FP38">
            <v>2.1100000000000001E-2</v>
          </cell>
          <cell r="FQ38">
            <v>1.11E-2</v>
          </cell>
          <cell r="FR38">
            <v>8.8000000000000005E-3</v>
          </cell>
          <cell r="FS38">
            <v>8.3999999999999995E-3</v>
          </cell>
          <cell r="FT38">
            <v>5.7999999999999996E-3</v>
          </cell>
          <cell r="FU38">
            <v>1.23E-2</v>
          </cell>
          <cell r="FV38">
            <v>9.1000000000000004E-3</v>
          </cell>
          <cell r="FW38">
            <v>9.7000000000000003E-3</v>
          </cell>
          <cell r="FX38">
            <v>7.6E-3</v>
          </cell>
          <cell r="FY38">
            <v>7.3000000000000001E-3</v>
          </cell>
          <cell r="FZ38">
            <v>5.0000000000000001E-3</v>
          </cell>
          <cell r="GA38">
            <v>9.7000000000000003E-3</v>
          </cell>
          <cell r="GB38">
            <v>7.6E-3</v>
          </cell>
          <cell r="GC38">
            <v>7.3000000000000001E-3</v>
          </cell>
          <cell r="GD38">
            <v>5.0000000000000001E-3</v>
          </cell>
          <cell r="GE38">
            <v>2.18E-2</v>
          </cell>
          <cell r="GF38">
            <v>1.9300000000000001E-2</v>
          </cell>
          <cell r="GG38">
            <v>1.9799999999999998E-2</v>
          </cell>
          <cell r="GH38">
            <v>1.6299999999999999E-2</v>
          </cell>
          <cell r="GI38">
            <v>2.18E-2</v>
          </cell>
          <cell r="GJ38">
            <v>1.9300000000000001E-2</v>
          </cell>
          <cell r="GK38">
            <v>1.9799999999999998E-2</v>
          </cell>
          <cell r="GL38">
            <v>1.6299999999999999E-2</v>
          </cell>
          <cell r="GM38">
            <v>1.11E-2</v>
          </cell>
          <cell r="GN38">
            <v>8.3999999999999995E-3</v>
          </cell>
          <cell r="GO38">
            <v>8.3999999999999995E-3</v>
          </cell>
          <cell r="GP38">
            <v>5.5999999999999999E-3</v>
          </cell>
          <cell r="GQ38">
            <v>1.23E-2</v>
          </cell>
          <cell r="GR38">
            <v>8.8000000000000005E-3</v>
          </cell>
          <cell r="GS38">
            <v>9.7000000000000003E-3</v>
          </cell>
          <cell r="GT38">
            <v>7.3000000000000001E-3</v>
          </cell>
          <cell r="GU38">
            <v>7.3000000000000001E-3</v>
          </cell>
          <cell r="GV38">
            <v>4.7999999999999996E-3</v>
          </cell>
          <cell r="GW38">
            <v>9.7000000000000003E-3</v>
          </cell>
          <cell r="GX38">
            <v>7.3000000000000001E-3</v>
          </cell>
          <cell r="GY38">
            <v>7.3000000000000001E-3</v>
          </cell>
          <cell r="GZ38">
            <v>4.7999999999999996E-3</v>
          </cell>
          <cell r="HA38">
            <v>2.18E-2</v>
          </cell>
          <cell r="HB38">
            <v>1.9300000000000001E-2</v>
          </cell>
          <cell r="HC38">
            <v>1.9799999999999998E-2</v>
          </cell>
          <cell r="HD38">
            <v>1.6299999999999999E-2</v>
          </cell>
          <cell r="HE38">
            <v>2.18E-2</v>
          </cell>
          <cell r="HF38">
            <v>1.9300000000000001E-2</v>
          </cell>
          <cell r="HG38">
            <v>1.9799999999999998E-2</v>
          </cell>
          <cell r="HH38">
            <v>1.6299999999999999E-2</v>
          </cell>
          <cell r="HI38">
            <v>1.11E-2</v>
          </cell>
          <cell r="HJ38">
            <v>8.2000000000000007E-3</v>
          </cell>
          <cell r="HK38">
            <v>8.3999999999999995E-3</v>
          </cell>
          <cell r="HL38">
            <v>5.4000000000000003E-3</v>
          </cell>
          <cell r="HM38">
            <v>1.23E-2</v>
          </cell>
          <cell r="HN38">
            <v>8.6E-3</v>
          </cell>
          <cell r="HO38">
            <v>9.7000000000000003E-3</v>
          </cell>
          <cell r="HP38">
            <v>7.1000000000000004E-3</v>
          </cell>
          <cell r="HQ38">
            <v>7.3000000000000001E-3</v>
          </cell>
          <cell r="HR38">
            <v>4.7000000000000002E-3</v>
          </cell>
          <cell r="HS38">
            <v>9.7000000000000003E-3</v>
          </cell>
          <cell r="HT38">
            <v>7.1000000000000004E-3</v>
          </cell>
          <cell r="HU38">
            <v>7.3000000000000001E-3</v>
          </cell>
          <cell r="HV38">
            <v>4.7000000000000002E-3</v>
          </cell>
          <cell r="HW38" t="str">
            <v>%PPL</v>
          </cell>
        </row>
        <row r="39">
          <cell r="AC39" t="str">
            <v>DOD-GPP 3.0 PPA DIS (Distributor) w DMA</v>
          </cell>
          <cell r="AD39" t="str">
            <v>Distributor</v>
          </cell>
          <cell r="AE39">
            <v>0.11</v>
          </cell>
          <cell r="AF39" t="str">
            <v>DOD-GPP 3.0 PPA DIS (Distributor) w DMA-Distributor</v>
          </cell>
          <cell r="AK39" t="str">
            <v>EUROPE-ALE</v>
          </cell>
          <cell r="AL39" t="str">
            <v>New ALE_CPA_TS_GLD_RFE</v>
          </cell>
          <cell r="AM39" t="str">
            <v>New ALE_CPA_TS_GLD_RFE_FY</v>
          </cell>
          <cell r="AR39" t="str">
            <v>ALE_CPA_TS_BZE_RFE</v>
          </cell>
          <cell r="AS39" t="str">
            <v>ALE_CPA_TS_BZE_FY</v>
          </cell>
          <cell r="AV39" t="str">
            <v>7750 MS-ISA/ISM Cards</v>
          </cell>
          <cell r="AW39">
            <v>0.8</v>
          </cell>
          <cell r="AX39">
            <v>0.7</v>
          </cell>
          <cell r="AY39">
            <v>0.75</v>
          </cell>
          <cell r="AZ39">
            <v>0.75</v>
          </cell>
          <cell r="BA39">
            <v>0.71</v>
          </cell>
          <cell r="BB39">
            <v>0.75</v>
          </cell>
          <cell r="BC39">
            <v>0.75</v>
          </cell>
          <cell r="BD39">
            <v>0.71</v>
          </cell>
          <cell r="BE39">
            <v>0.75</v>
          </cell>
          <cell r="BF39">
            <v>0.75</v>
          </cell>
          <cell r="BG39">
            <v>0.75</v>
          </cell>
          <cell r="BH39">
            <v>0.75</v>
          </cell>
          <cell r="BI39">
            <v>0.78</v>
          </cell>
          <cell r="BJ39">
            <v>0.6</v>
          </cell>
          <cell r="BK39">
            <v>2.5000000000000001E-2</v>
          </cell>
          <cell r="BL39" t="str">
            <v>%PMP</v>
          </cell>
          <cell r="BM39">
            <v>1.4E-2</v>
          </cell>
          <cell r="BN39">
            <v>1.0500000000000001E-2</v>
          </cell>
          <cell r="BO39">
            <v>1.06E-2</v>
          </cell>
          <cell r="BP39">
            <v>7.1000000000000004E-3</v>
          </cell>
          <cell r="BQ39">
            <v>1.4E-2</v>
          </cell>
          <cell r="BR39">
            <v>1.0500000000000001E-2</v>
          </cell>
          <cell r="BS39">
            <v>1.06E-2</v>
          </cell>
          <cell r="BT39">
            <v>7.1000000000000004E-3</v>
          </cell>
          <cell r="BU39">
            <v>1.1200000000000002E-2</v>
          </cell>
          <cell r="BV39">
            <v>5.8800000000000007E-3</v>
          </cell>
          <cell r="BW39">
            <v>8.4799999999999997E-3</v>
          </cell>
          <cell r="BX39">
            <v>3.4080000000000004E-3</v>
          </cell>
          <cell r="BY39">
            <v>1.2320000000000003E-2</v>
          </cell>
          <cell r="BZ39">
            <v>6.9300000000000013E-3</v>
          </cell>
          <cell r="CA39">
            <v>8.9600000000000009E-3</v>
          </cell>
          <cell r="CB39">
            <v>4.7039999999999998E-3</v>
          </cell>
          <cell r="CC39">
            <v>6.7840000000000001E-3</v>
          </cell>
          <cell r="CD39">
            <v>2.7263999999999999E-3</v>
          </cell>
          <cell r="CE39">
            <v>8.9600000000000009E-3</v>
          </cell>
          <cell r="CF39">
            <v>4.7039999999999998E-3</v>
          </cell>
          <cell r="CG39">
            <v>6.7840000000000001E-3</v>
          </cell>
          <cell r="CH39">
            <v>2.7263999999999999E-3</v>
          </cell>
          <cell r="CI39">
            <v>1.3100000000000001E-2</v>
          </cell>
          <cell r="CJ39">
            <v>9.6000000000000009E-3</v>
          </cell>
          <cell r="CK39">
            <v>1.18E-2</v>
          </cell>
          <cell r="CL39">
            <v>8.3000000000000001E-3</v>
          </cell>
          <cell r="CM39">
            <v>1.3100000000000001E-2</v>
          </cell>
          <cell r="CN39">
            <v>9.6000000000000009E-3</v>
          </cell>
          <cell r="CO39">
            <v>1.18E-2</v>
          </cell>
          <cell r="CP39">
            <v>8.3000000000000001E-3</v>
          </cell>
          <cell r="CQ39">
            <v>1.0063256512499504E-2</v>
          </cell>
          <cell r="CR39">
            <v>4.9991661384674946E-3</v>
          </cell>
          <cell r="CS39">
            <v>8.6349233300802193E-3</v>
          </cell>
          <cell r="CT39">
            <v>3.46695417914499E-3</v>
          </cell>
          <cell r="CU39">
            <v>1.1069582163749456E-2</v>
          </cell>
          <cell r="CV39">
            <v>5.8918743774795477E-3</v>
          </cell>
          <cell r="CW39">
            <v>8.0506052099996034E-3</v>
          </cell>
          <cell r="CX39">
            <v>4.0447798756691553E-3</v>
          </cell>
          <cell r="CY39">
            <v>6.8819689698383707E-3</v>
          </cell>
          <cell r="CZ39">
            <v>2.7657724350482506E-3</v>
          </cell>
          <cell r="DA39">
            <v>8.0506052099996034E-3</v>
          </cell>
          <cell r="DB39">
            <v>4.0447798756691553E-3</v>
          </cell>
          <cell r="DC39">
            <v>6.8819689698383707E-3</v>
          </cell>
          <cell r="DD39">
            <v>2.7657724350482506E-3</v>
          </cell>
          <cell r="DE39">
            <v>1.0999999999999999E-2</v>
          </cell>
          <cell r="DF39">
            <v>7.4999999999999997E-3</v>
          </cell>
          <cell r="DG39">
            <v>9.7000000000000003E-3</v>
          </cell>
          <cell r="DH39">
            <v>6.1999999999999998E-3</v>
          </cell>
          <cell r="DI39">
            <v>1.83E-2</v>
          </cell>
          <cell r="DJ39">
            <v>1.4800000000000001E-2</v>
          </cell>
          <cell r="DK39">
            <v>1.61E-2</v>
          </cell>
          <cell r="DL39">
            <v>1.26E-2</v>
          </cell>
          <cell r="DM39">
            <v>1.0999999999999999E-2</v>
          </cell>
          <cell r="DN39">
            <v>7.5000000000000006E-3</v>
          </cell>
          <cell r="DO39">
            <v>9.6999999999999986E-3</v>
          </cell>
          <cell r="DP39">
            <v>6.2000000000000006E-3</v>
          </cell>
          <cell r="DQ39">
            <v>1.0999999999999999E-2</v>
          </cell>
          <cell r="DR39">
            <v>7.5000000000000006E-3</v>
          </cell>
          <cell r="DS39">
            <v>9.6999999999999986E-3</v>
          </cell>
          <cell r="DT39">
            <v>6.2000000000000006E-3</v>
          </cell>
          <cell r="DU39">
            <v>8.8000000000000005E-3</v>
          </cell>
          <cell r="DV39">
            <v>5.4000000000000003E-3</v>
          </cell>
          <cell r="DW39">
            <v>7.7999999999999996E-3</v>
          </cell>
          <cell r="DX39">
            <v>4.0000000000000001E-3</v>
          </cell>
          <cell r="DY39">
            <v>9.7000000000000003E-3</v>
          </cell>
          <cell r="DZ39">
            <v>6.0000000000000001E-3</v>
          </cell>
          <cell r="EA39">
            <v>7.3000000000000001E-3</v>
          </cell>
          <cell r="EB39">
            <v>4.4999999999999997E-3</v>
          </cell>
          <cell r="EC39">
            <v>6.4999999999999997E-3</v>
          </cell>
          <cell r="ED39">
            <v>3.3E-3</v>
          </cell>
          <cell r="EE39">
            <v>7.3000000000000001E-3</v>
          </cell>
          <cell r="EF39">
            <v>4.4999999999999997E-3</v>
          </cell>
          <cell r="EG39">
            <v>6.4999999999999997E-3</v>
          </cell>
          <cell r="EH39">
            <v>3.3E-3</v>
          </cell>
          <cell r="EI39">
            <v>1.83E-2</v>
          </cell>
          <cell r="EJ39">
            <v>1.4800000000000001E-2</v>
          </cell>
          <cell r="EK39">
            <v>1.61E-2</v>
          </cell>
          <cell r="EL39">
            <v>1.26E-2</v>
          </cell>
          <cell r="EM39">
            <v>1.0999999999999999E-2</v>
          </cell>
          <cell r="EN39">
            <v>7.5000000000000006E-3</v>
          </cell>
          <cell r="EO39">
            <v>9.6999999999999986E-3</v>
          </cell>
          <cell r="EP39">
            <v>6.2000000000000006E-3</v>
          </cell>
          <cell r="EQ39">
            <v>1.0999999999999999E-2</v>
          </cell>
          <cell r="ER39">
            <v>7.5000000000000006E-3</v>
          </cell>
          <cell r="ES39">
            <v>9.6999999999999986E-3</v>
          </cell>
          <cell r="ET39">
            <v>6.2000000000000006E-3</v>
          </cell>
          <cell r="EU39">
            <v>8.8000000000000005E-3</v>
          </cell>
          <cell r="EV39">
            <v>5.4000000000000003E-3</v>
          </cell>
          <cell r="EW39">
            <v>7.7999999999999996E-3</v>
          </cell>
          <cell r="EX39">
            <v>4.0000000000000001E-3</v>
          </cell>
          <cell r="EY39">
            <v>9.7000000000000003E-3</v>
          </cell>
          <cell r="EZ39">
            <v>6.0000000000000001E-3</v>
          </cell>
          <cell r="FA39">
            <v>7.3000000000000001E-3</v>
          </cell>
          <cell r="FB39">
            <v>4.4999999999999997E-3</v>
          </cell>
          <cell r="FC39">
            <v>6.4999999999999997E-3</v>
          </cell>
          <cell r="FD39">
            <v>3.3E-3</v>
          </cell>
          <cell r="FE39">
            <v>7.3000000000000001E-3</v>
          </cell>
          <cell r="FF39">
            <v>4.4999999999999997E-3</v>
          </cell>
          <cell r="FG39">
            <v>6.4999999999999997E-3</v>
          </cell>
          <cell r="FH39">
            <v>3.3E-3</v>
          </cell>
          <cell r="FI39">
            <v>2.76E-2</v>
          </cell>
          <cell r="FJ39">
            <v>2.4E-2</v>
          </cell>
          <cell r="FK39">
            <v>2.47E-2</v>
          </cell>
          <cell r="FL39">
            <v>2.1100000000000001E-2</v>
          </cell>
          <cell r="FM39">
            <v>2.76E-2</v>
          </cell>
          <cell r="FN39">
            <v>2.4E-2</v>
          </cell>
          <cell r="FO39">
            <v>2.47E-2</v>
          </cell>
          <cell r="FP39">
            <v>2.1100000000000001E-2</v>
          </cell>
          <cell r="FQ39">
            <v>1.11E-2</v>
          </cell>
          <cell r="FR39">
            <v>8.8000000000000005E-3</v>
          </cell>
          <cell r="FS39">
            <v>8.3999999999999995E-3</v>
          </cell>
          <cell r="FT39">
            <v>5.7999999999999996E-3</v>
          </cell>
          <cell r="FU39">
            <v>1.23E-2</v>
          </cell>
          <cell r="FV39">
            <v>9.1000000000000004E-3</v>
          </cell>
          <cell r="FW39">
            <v>9.7000000000000003E-3</v>
          </cell>
          <cell r="FX39">
            <v>7.6E-3</v>
          </cell>
          <cell r="FY39">
            <v>7.3000000000000001E-3</v>
          </cell>
          <cell r="FZ39">
            <v>5.0000000000000001E-3</v>
          </cell>
          <cell r="GA39">
            <v>9.7000000000000003E-3</v>
          </cell>
          <cell r="GB39">
            <v>7.6E-3</v>
          </cell>
          <cell r="GC39">
            <v>7.3000000000000001E-3</v>
          </cell>
          <cell r="GD39">
            <v>5.0000000000000001E-3</v>
          </cell>
          <cell r="GE39">
            <v>2.18E-2</v>
          </cell>
          <cell r="GF39">
            <v>1.9300000000000001E-2</v>
          </cell>
          <cell r="GG39">
            <v>1.9799999999999998E-2</v>
          </cell>
          <cell r="GH39">
            <v>1.6299999999999999E-2</v>
          </cell>
          <cell r="GI39">
            <v>2.18E-2</v>
          </cell>
          <cell r="GJ39">
            <v>1.9300000000000001E-2</v>
          </cell>
          <cell r="GK39">
            <v>1.9799999999999998E-2</v>
          </cell>
          <cell r="GL39">
            <v>1.6299999999999999E-2</v>
          </cell>
          <cell r="GM39">
            <v>1.11E-2</v>
          </cell>
          <cell r="GN39">
            <v>8.3999999999999995E-3</v>
          </cell>
          <cell r="GO39">
            <v>8.3999999999999995E-3</v>
          </cell>
          <cell r="GP39">
            <v>5.5999999999999999E-3</v>
          </cell>
          <cell r="GQ39">
            <v>1.23E-2</v>
          </cell>
          <cell r="GR39">
            <v>8.8000000000000005E-3</v>
          </cell>
          <cell r="GS39">
            <v>9.7000000000000003E-3</v>
          </cell>
          <cell r="GT39">
            <v>7.3000000000000001E-3</v>
          </cell>
          <cell r="GU39">
            <v>7.3000000000000001E-3</v>
          </cell>
          <cell r="GV39">
            <v>4.7999999999999996E-3</v>
          </cell>
          <cell r="GW39">
            <v>9.7000000000000003E-3</v>
          </cell>
          <cell r="GX39">
            <v>7.3000000000000001E-3</v>
          </cell>
          <cell r="GY39">
            <v>7.3000000000000001E-3</v>
          </cell>
          <cell r="GZ39">
            <v>4.7999999999999996E-3</v>
          </cell>
          <cell r="HA39">
            <v>2.18E-2</v>
          </cell>
          <cell r="HB39">
            <v>1.9300000000000001E-2</v>
          </cell>
          <cell r="HC39">
            <v>1.9799999999999998E-2</v>
          </cell>
          <cell r="HD39">
            <v>1.6299999999999999E-2</v>
          </cell>
          <cell r="HE39">
            <v>2.18E-2</v>
          </cell>
          <cell r="HF39">
            <v>1.9300000000000001E-2</v>
          </cell>
          <cell r="HG39">
            <v>1.9799999999999998E-2</v>
          </cell>
          <cell r="HH39">
            <v>1.6299999999999999E-2</v>
          </cell>
          <cell r="HI39">
            <v>1.11E-2</v>
          </cell>
          <cell r="HJ39">
            <v>8.2000000000000007E-3</v>
          </cell>
          <cell r="HK39">
            <v>8.3999999999999995E-3</v>
          </cell>
          <cell r="HL39">
            <v>5.4000000000000003E-3</v>
          </cell>
          <cell r="HM39">
            <v>1.23E-2</v>
          </cell>
          <cell r="HN39">
            <v>8.6E-3</v>
          </cell>
          <cell r="HO39">
            <v>9.7000000000000003E-3</v>
          </cell>
          <cell r="HP39">
            <v>7.1000000000000004E-3</v>
          </cell>
          <cell r="HQ39">
            <v>7.3000000000000001E-3</v>
          </cell>
          <cell r="HR39">
            <v>4.7000000000000002E-3</v>
          </cell>
          <cell r="HS39">
            <v>9.7000000000000003E-3</v>
          </cell>
          <cell r="HT39">
            <v>7.1000000000000004E-3</v>
          </cell>
          <cell r="HU39">
            <v>7.3000000000000001E-3</v>
          </cell>
          <cell r="HV39">
            <v>4.7000000000000002E-3</v>
          </cell>
          <cell r="HW39" t="str">
            <v>%PPL</v>
          </cell>
        </row>
        <row r="40">
          <cell r="AC40" t="str">
            <v>DOD-GPP 3.0 PPA DIS (Distributor) w DMA</v>
          </cell>
          <cell r="AD40" t="str">
            <v>Nokia</v>
          </cell>
          <cell r="AE40">
            <v>0</v>
          </cell>
          <cell r="AF40" t="str">
            <v>DOD-GPP 3.0 PPA DIS (Distributor) w DMA-Nokia</v>
          </cell>
          <cell r="AK40" t="str">
            <v>MEA-ALE</v>
          </cell>
          <cell r="AL40" t="str">
            <v>New ALE_CPA_TS_GLD_RFE</v>
          </cell>
          <cell r="AM40" t="str">
            <v>New ALE_CPA_TS_GLD_RFE_FY</v>
          </cell>
          <cell r="AR40" t="str">
            <v>ALE_CPA_TS_BZE_RFE</v>
          </cell>
          <cell r="AS40" t="str">
            <v>ALE_CPA_TS_BZE_FY</v>
          </cell>
          <cell r="AV40" t="str">
            <v>7750 Power Systems</v>
          </cell>
          <cell r="AW40">
            <v>0.8</v>
          </cell>
          <cell r="AX40">
            <v>0.7</v>
          </cell>
          <cell r="AY40">
            <v>0.75</v>
          </cell>
          <cell r="AZ40">
            <v>0.75</v>
          </cell>
          <cell r="BA40">
            <v>0.71</v>
          </cell>
          <cell r="BB40">
            <v>0.75</v>
          </cell>
          <cell r="BC40">
            <v>0.75</v>
          </cell>
          <cell r="BD40">
            <v>0.71</v>
          </cell>
          <cell r="BE40">
            <v>0.75</v>
          </cell>
          <cell r="BF40">
            <v>0.75</v>
          </cell>
          <cell r="BG40">
            <v>0.75</v>
          </cell>
          <cell r="BH40">
            <v>0.75</v>
          </cell>
          <cell r="BI40">
            <v>0.5</v>
          </cell>
          <cell r="BJ40">
            <v>0.6</v>
          </cell>
          <cell r="BK40">
            <v>2.5000000000000001E-2</v>
          </cell>
          <cell r="BL40" t="str">
            <v>%PMP</v>
          </cell>
          <cell r="BM40">
            <v>1.4E-2</v>
          </cell>
          <cell r="BN40">
            <v>1.0500000000000001E-2</v>
          </cell>
          <cell r="BO40">
            <v>1.06E-2</v>
          </cell>
          <cell r="BP40">
            <v>7.1000000000000004E-3</v>
          </cell>
          <cell r="BQ40">
            <v>1.4E-2</v>
          </cell>
          <cell r="BR40">
            <v>1.0500000000000001E-2</v>
          </cell>
          <cell r="BS40">
            <v>1.06E-2</v>
          </cell>
          <cell r="BT40">
            <v>7.1000000000000004E-3</v>
          </cell>
          <cell r="BU40">
            <v>1.1200000000000002E-2</v>
          </cell>
          <cell r="BV40">
            <v>5.8800000000000007E-3</v>
          </cell>
          <cell r="BW40">
            <v>8.4799999999999997E-3</v>
          </cell>
          <cell r="BX40">
            <v>3.4080000000000004E-3</v>
          </cell>
          <cell r="BY40">
            <v>1.2320000000000003E-2</v>
          </cell>
          <cell r="BZ40">
            <v>6.9300000000000013E-3</v>
          </cell>
          <cell r="CA40">
            <v>8.9600000000000009E-3</v>
          </cell>
          <cell r="CB40">
            <v>4.7039999999999998E-3</v>
          </cell>
          <cell r="CC40">
            <v>6.7840000000000001E-3</v>
          </cell>
          <cell r="CD40">
            <v>2.7263999999999999E-3</v>
          </cell>
          <cell r="CE40">
            <v>8.9600000000000009E-3</v>
          </cell>
          <cell r="CF40">
            <v>4.7039999999999998E-3</v>
          </cell>
          <cell r="CG40">
            <v>6.7840000000000001E-3</v>
          </cell>
          <cell r="CH40">
            <v>2.7263999999999999E-3</v>
          </cell>
          <cell r="CI40">
            <v>1.3100000000000001E-2</v>
          </cell>
          <cell r="CJ40">
            <v>9.6000000000000009E-3</v>
          </cell>
          <cell r="CK40">
            <v>1.18E-2</v>
          </cell>
          <cell r="CL40">
            <v>8.3000000000000001E-3</v>
          </cell>
          <cell r="CM40">
            <v>1.3100000000000001E-2</v>
          </cell>
          <cell r="CN40">
            <v>9.6000000000000009E-3</v>
          </cell>
          <cell r="CO40">
            <v>1.18E-2</v>
          </cell>
          <cell r="CP40">
            <v>8.3000000000000001E-3</v>
          </cell>
          <cell r="CQ40">
            <v>1.0063256512499504E-2</v>
          </cell>
          <cell r="CR40">
            <v>4.9991661384674946E-3</v>
          </cell>
          <cell r="CS40">
            <v>8.6349233300802193E-3</v>
          </cell>
          <cell r="CT40">
            <v>3.46695417914499E-3</v>
          </cell>
          <cell r="CU40">
            <v>1.1069582163749456E-2</v>
          </cell>
          <cell r="CV40">
            <v>5.8918743774795477E-3</v>
          </cell>
          <cell r="CW40">
            <v>8.0506052099996034E-3</v>
          </cell>
          <cell r="CX40">
            <v>4.0447798756691553E-3</v>
          </cell>
          <cell r="CY40">
            <v>6.8819689698383707E-3</v>
          </cell>
          <cell r="CZ40">
            <v>2.7657724350482506E-3</v>
          </cell>
          <cell r="DA40">
            <v>8.0506052099996034E-3</v>
          </cell>
          <cell r="DB40">
            <v>4.0447798756691553E-3</v>
          </cell>
          <cell r="DC40">
            <v>6.8819689698383707E-3</v>
          </cell>
          <cell r="DD40">
            <v>2.7657724350482506E-3</v>
          </cell>
          <cell r="DE40">
            <v>1.0999999999999999E-2</v>
          </cell>
          <cell r="DF40">
            <v>7.4999999999999997E-3</v>
          </cell>
          <cell r="DG40">
            <v>9.7000000000000003E-3</v>
          </cell>
          <cell r="DH40">
            <v>6.1999999999999998E-3</v>
          </cell>
          <cell r="DI40">
            <v>1.83E-2</v>
          </cell>
          <cell r="DJ40">
            <v>1.4800000000000001E-2</v>
          </cell>
          <cell r="DK40">
            <v>1.61E-2</v>
          </cell>
          <cell r="DL40">
            <v>1.26E-2</v>
          </cell>
          <cell r="DM40">
            <v>1.0999999999999999E-2</v>
          </cell>
          <cell r="DN40">
            <v>7.5000000000000006E-3</v>
          </cell>
          <cell r="DO40">
            <v>9.6999999999999986E-3</v>
          </cell>
          <cell r="DP40">
            <v>6.2000000000000006E-3</v>
          </cell>
          <cell r="DQ40">
            <v>1.0999999999999999E-2</v>
          </cell>
          <cell r="DR40">
            <v>7.5000000000000006E-3</v>
          </cell>
          <cell r="DS40">
            <v>9.6999999999999986E-3</v>
          </cell>
          <cell r="DT40">
            <v>6.2000000000000006E-3</v>
          </cell>
          <cell r="DU40">
            <v>8.8000000000000005E-3</v>
          </cell>
          <cell r="DV40">
            <v>5.4000000000000003E-3</v>
          </cell>
          <cell r="DW40">
            <v>7.7999999999999996E-3</v>
          </cell>
          <cell r="DX40">
            <v>4.0000000000000001E-3</v>
          </cell>
          <cell r="DY40">
            <v>9.7000000000000003E-3</v>
          </cell>
          <cell r="DZ40">
            <v>6.0000000000000001E-3</v>
          </cell>
          <cell r="EA40">
            <v>7.3000000000000001E-3</v>
          </cell>
          <cell r="EB40">
            <v>4.4999999999999997E-3</v>
          </cell>
          <cell r="EC40">
            <v>6.4999999999999997E-3</v>
          </cell>
          <cell r="ED40">
            <v>3.3E-3</v>
          </cell>
          <cell r="EE40">
            <v>7.3000000000000001E-3</v>
          </cell>
          <cell r="EF40">
            <v>4.4999999999999997E-3</v>
          </cell>
          <cell r="EG40">
            <v>6.4999999999999997E-3</v>
          </cell>
          <cell r="EH40">
            <v>3.3E-3</v>
          </cell>
          <cell r="EI40">
            <v>1.83E-2</v>
          </cell>
          <cell r="EJ40">
            <v>1.4800000000000001E-2</v>
          </cell>
          <cell r="EK40">
            <v>1.61E-2</v>
          </cell>
          <cell r="EL40">
            <v>1.26E-2</v>
          </cell>
          <cell r="EM40">
            <v>1.0999999999999999E-2</v>
          </cell>
          <cell r="EN40">
            <v>7.5000000000000006E-3</v>
          </cell>
          <cell r="EO40">
            <v>9.6999999999999986E-3</v>
          </cell>
          <cell r="EP40">
            <v>6.2000000000000006E-3</v>
          </cell>
          <cell r="EQ40">
            <v>1.0999999999999999E-2</v>
          </cell>
          <cell r="ER40">
            <v>7.5000000000000006E-3</v>
          </cell>
          <cell r="ES40">
            <v>9.6999999999999986E-3</v>
          </cell>
          <cell r="ET40">
            <v>6.2000000000000006E-3</v>
          </cell>
          <cell r="EU40">
            <v>8.8000000000000005E-3</v>
          </cell>
          <cell r="EV40">
            <v>5.4000000000000003E-3</v>
          </cell>
          <cell r="EW40">
            <v>7.7999999999999996E-3</v>
          </cell>
          <cell r="EX40">
            <v>4.0000000000000001E-3</v>
          </cell>
          <cell r="EY40">
            <v>9.7000000000000003E-3</v>
          </cell>
          <cell r="EZ40">
            <v>6.0000000000000001E-3</v>
          </cell>
          <cell r="FA40">
            <v>7.3000000000000001E-3</v>
          </cell>
          <cell r="FB40">
            <v>4.4999999999999997E-3</v>
          </cell>
          <cell r="FC40">
            <v>6.4999999999999997E-3</v>
          </cell>
          <cell r="FD40">
            <v>3.3E-3</v>
          </cell>
          <cell r="FE40">
            <v>7.3000000000000001E-3</v>
          </cell>
          <cell r="FF40">
            <v>4.4999999999999997E-3</v>
          </cell>
          <cell r="FG40">
            <v>6.4999999999999997E-3</v>
          </cell>
          <cell r="FH40">
            <v>3.3E-3</v>
          </cell>
          <cell r="FI40">
            <v>2.76E-2</v>
          </cell>
          <cell r="FJ40">
            <v>2.4E-2</v>
          </cell>
          <cell r="FK40">
            <v>2.47E-2</v>
          </cell>
          <cell r="FL40">
            <v>2.1100000000000001E-2</v>
          </cell>
          <cell r="FM40">
            <v>2.76E-2</v>
          </cell>
          <cell r="FN40">
            <v>2.4E-2</v>
          </cell>
          <cell r="FO40">
            <v>2.47E-2</v>
          </cell>
          <cell r="FP40">
            <v>2.1100000000000001E-2</v>
          </cell>
          <cell r="FQ40">
            <v>1.11E-2</v>
          </cell>
          <cell r="FR40">
            <v>8.8000000000000005E-3</v>
          </cell>
          <cell r="FS40">
            <v>8.3999999999999995E-3</v>
          </cell>
          <cell r="FT40">
            <v>5.7999999999999996E-3</v>
          </cell>
          <cell r="FU40">
            <v>1.23E-2</v>
          </cell>
          <cell r="FV40">
            <v>9.1000000000000004E-3</v>
          </cell>
          <cell r="FW40">
            <v>9.7000000000000003E-3</v>
          </cell>
          <cell r="FX40">
            <v>7.6E-3</v>
          </cell>
          <cell r="FY40">
            <v>7.3000000000000001E-3</v>
          </cell>
          <cell r="FZ40">
            <v>5.0000000000000001E-3</v>
          </cell>
          <cell r="GA40">
            <v>9.7000000000000003E-3</v>
          </cell>
          <cell r="GB40">
            <v>7.6E-3</v>
          </cell>
          <cell r="GC40">
            <v>7.3000000000000001E-3</v>
          </cell>
          <cell r="GD40">
            <v>5.0000000000000001E-3</v>
          </cell>
          <cell r="GE40">
            <v>2.18E-2</v>
          </cell>
          <cell r="GF40">
            <v>1.9300000000000001E-2</v>
          </cell>
          <cell r="GG40">
            <v>1.9799999999999998E-2</v>
          </cell>
          <cell r="GH40">
            <v>1.6299999999999999E-2</v>
          </cell>
          <cell r="GI40">
            <v>2.18E-2</v>
          </cell>
          <cell r="GJ40">
            <v>1.9300000000000001E-2</v>
          </cell>
          <cell r="GK40">
            <v>1.9799999999999998E-2</v>
          </cell>
          <cell r="GL40">
            <v>1.6299999999999999E-2</v>
          </cell>
          <cell r="GM40">
            <v>1.11E-2</v>
          </cell>
          <cell r="GN40">
            <v>8.3999999999999995E-3</v>
          </cell>
          <cell r="GO40">
            <v>8.3999999999999995E-3</v>
          </cell>
          <cell r="GP40">
            <v>5.5999999999999999E-3</v>
          </cell>
          <cell r="GQ40">
            <v>1.23E-2</v>
          </cell>
          <cell r="GR40">
            <v>8.8000000000000005E-3</v>
          </cell>
          <cell r="GS40">
            <v>9.7000000000000003E-3</v>
          </cell>
          <cell r="GT40">
            <v>7.3000000000000001E-3</v>
          </cell>
          <cell r="GU40">
            <v>7.3000000000000001E-3</v>
          </cell>
          <cell r="GV40">
            <v>4.7999999999999996E-3</v>
          </cell>
          <cell r="GW40">
            <v>9.7000000000000003E-3</v>
          </cell>
          <cell r="GX40">
            <v>7.3000000000000001E-3</v>
          </cell>
          <cell r="GY40">
            <v>7.3000000000000001E-3</v>
          </cell>
          <cell r="GZ40">
            <v>4.7999999999999996E-3</v>
          </cell>
          <cell r="HA40">
            <v>2.18E-2</v>
          </cell>
          <cell r="HB40">
            <v>1.9300000000000001E-2</v>
          </cell>
          <cell r="HC40">
            <v>1.9799999999999998E-2</v>
          </cell>
          <cell r="HD40">
            <v>1.6299999999999999E-2</v>
          </cell>
          <cell r="HE40">
            <v>2.18E-2</v>
          </cell>
          <cell r="HF40">
            <v>1.9300000000000001E-2</v>
          </cell>
          <cell r="HG40">
            <v>1.9799999999999998E-2</v>
          </cell>
          <cell r="HH40">
            <v>1.6299999999999999E-2</v>
          </cell>
          <cell r="HI40">
            <v>1.11E-2</v>
          </cell>
          <cell r="HJ40">
            <v>8.2000000000000007E-3</v>
          </cell>
          <cell r="HK40">
            <v>8.3999999999999995E-3</v>
          </cell>
          <cell r="HL40">
            <v>5.4000000000000003E-3</v>
          </cell>
          <cell r="HM40">
            <v>1.23E-2</v>
          </cell>
          <cell r="HN40">
            <v>8.6E-3</v>
          </cell>
          <cell r="HO40">
            <v>9.7000000000000003E-3</v>
          </cell>
          <cell r="HP40">
            <v>7.1000000000000004E-3</v>
          </cell>
          <cell r="HQ40">
            <v>7.3000000000000001E-3</v>
          </cell>
          <cell r="HR40">
            <v>4.7000000000000002E-3</v>
          </cell>
          <cell r="HS40">
            <v>9.7000000000000003E-3</v>
          </cell>
          <cell r="HT40">
            <v>7.1000000000000004E-3</v>
          </cell>
          <cell r="HU40">
            <v>7.3000000000000001E-3</v>
          </cell>
          <cell r="HV40">
            <v>4.7000000000000002E-3</v>
          </cell>
          <cell r="HW40" t="str">
            <v>%PPL</v>
          </cell>
        </row>
        <row r="41">
          <cell r="AC41" t="str">
            <v>DOD-GPP 1.0 CPA</v>
          </cell>
          <cell r="AD41" t="str">
            <v>Not Applicable</v>
          </cell>
          <cell r="AE41">
            <v>0</v>
          </cell>
          <cell r="AF41" t="str">
            <v>DOD-GPP 1.0 CPA-Not Applicable</v>
          </cell>
          <cell r="AK41" t="str">
            <v>APJ-A-ALE</v>
          </cell>
          <cell r="AL41" t="str">
            <v>New ALE_CPA_TS_GLD_RFE</v>
          </cell>
          <cell r="AM41" t="str">
            <v>New ALE_CPA_TS_GLD_RFE_FY</v>
          </cell>
          <cell r="AR41" t="str">
            <v>ALE_CPA_TS_BZE_RFE</v>
          </cell>
          <cell r="AS41" t="str">
            <v>ALE_CPA_TS_BZE_FY</v>
          </cell>
          <cell r="AV41" t="str">
            <v>7750 SR Bundles</v>
          </cell>
          <cell r="AW41">
            <v>0.8</v>
          </cell>
          <cell r="AX41">
            <v>0.7</v>
          </cell>
          <cell r="AY41">
            <v>0.75</v>
          </cell>
          <cell r="AZ41">
            <v>0.75</v>
          </cell>
          <cell r="BA41">
            <v>0.71299999999999997</v>
          </cell>
          <cell r="BB41">
            <v>0.75</v>
          </cell>
          <cell r="BC41">
            <v>0.75</v>
          </cell>
          <cell r="BD41">
            <v>0.71299999999999997</v>
          </cell>
          <cell r="BE41">
            <v>0.75</v>
          </cell>
          <cell r="BF41">
            <v>0.75</v>
          </cell>
          <cell r="BG41">
            <v>0.7</v>
          </cell>
          <cell r="BH41">
            <v>0.75</v>
          </cell>
          <cell r="BI41">
            <v>0.75</v>
          </cell>
          <cell r="BJ41">
            <v>0.6</v>
          </cell>
          <cell r="BK41">
            <v>2.5000000000000001E-2</v>
          </cell>
          <cell r="BL41" t="str">
            <v>%PMP</v>
          </cell>
          <cell r="BM41">
            <v>1.4E-2</v>
          </cell>
          <cell r="BN41">
            <v>1.0500000000000001E-2</v>
          </cell>
          <cell r="BO41">
            <v>1.06E-2</v>
          </cell>
          <cell r="BP41">
            <v>7.1000000000000004E-3</v>
          </cell>
          <cell r="BQ41">
            <v>1.4E-2</v>
          </cell>
          <cell r="BR41">
            <v>1.0500000000000001E-2</v>
          </cell>
          <cell r="BS41">
            <v>1.06E-2</v>
          </cell>
          <cell r="BT41">
            <v>7.1000000000000004E-3</v>
          </cell>
          <cell r="BU41">
            <v>1.1200000000000002E-2</v>
          </cell>
          <cell r="BV41">
            <v>5.8800000000000007E-3</v>
          </cell>
          <cell r="BW41">
            <v>8.4799999999999997E-3</v>
          </cell>
          <cell r="BX41">
            <v>3.4080000000000004E-3</v>
          </cell>
          <cell r="BY41">
            <v>1.2320000000000003E-2</v>
          </cell>
          <cell r="BZ41">
            <v>6.9300000000000013E-3</v>
          </cell>
          <cell r="CA41">
            <v>8.9600000000000009E-3</v>
          </cell>
          <cell r="CB41">
            <v>4.7039999999999998E-3</v>
          </cell>
          <cell r="CC41">
            <v>6.7840000000000001E-3</v>
          </cell>
          <cell r="CD41">
            <v>2.7263999999999999E-3</v>
          </cell>
          <cell r="CE41">
            <v>8.9600000000000009E-3</v>
          </cell>
          <cell r="CF41">
            <v>4.7039999999999998E-3</v>
          </cell>
          <cell r="CG41">
            <v>6.7840000000000001E-3</v>
          </cell>
          <cell r="CH41">
            <v>2.7263999999999999E-3</v>
          </cell>
          <cell r="CI41">
            <v>1.3100000000000001E-2</v>
          </cell>
          <cell r="CJ41">
            <v>9.6000000000000009E-3</v>
          </cell>
          <cell r="CK41">
            <v>1.18E-2</v>
          </cell>
          <cell r="CL41">
            <v>8.3000000000000001E-3</v>
          </cell>
          <cell r="CM41">
            <v>1.3100000000000001E-2</v>
          </cell>
          <cell r="CN41">
            <v>9.6000000000000009E-3</v>
          </cell>
          <cell r="CO41">
            <v>1.18E-2</v>
          </cell>
          <cell r="CP41">
            <v>8.3000000000000001E-3</v>
          </cell>
          <cell r="CQ41">
            <v>1.0063256512499504E-2</v>
          </cell>
          <cell r="CR41">
            <v>4.9991661384674946E-3</v>
          </cell>
          <cell r="CS41">
            <v>8.6349233300802193E-3</v>
          </cell>
          <cell r="CT41">
            <v>3.46695417914499E-3</v>
          </cell>
          <cell r="CU41">
            <v>1.1069582163749456E-2</v>
          </cell>
          <cell r="CV41">
            <v>5.8918743774795477E-3</v>
          </cell>
          <cell r="CW41">
            <v>8.0506052099996034E-3</v>
          </cell>
          <cell r="CX41">
            <v>4.0447798756691553E-3</v>
          </cell>
          <cell r="CY41">
            <v>6.8819689698383707E-3</v>
          </cell>
          <cell r="CZ41">
            <v>2.7657724350482506E-3</v>
          </cell>
          <cell r="DA41">
            <v>8.0506052099996034E-3</v>
          </cell>
          <cell r="DB41">
            <v>4.0447798756691553E-3</v>
          </cell>
          <cell r="DC41">
            <v>6.8819689698383707E-3</v>
          </cell>
          <cell r="DD41">
            <v>2.7657724350482506E-3</v>
          </cell>
          <cell r="DE41">
            <v>1.0999999999999999E-2</v>
          </cell>
          <cell r="DF41">
            <v>7.4999999999999997E-3</v>
          </cell>
          <cell r="DG41">
            <v>9.7000000000000003E-3</v>
          </cell>
          <cell r="DH41">
            <v>6.1999999999999998E-3</v>
          </cell>
          <cell r="DI41">
            <v>1.83E-2</v>
          </cell>
          <cell r="DJ41">
            <v>1.4800000000000001E-2</v>
          </cell>
          <cell r="DK41">
            <v>1.61E-2</v>
          </cell>
          <cell r="DL41">
            <v>1.26E-2</v>
          </cell>
          <cell r="DM41">
            <v>1.0999999999999999E-2</v>
          </cell>
          <cell r="DN41">
            <v>7.5000000000000006E-3</v>
          </cell>
          <cell r="DO41">
            <v>9.6999999999999986E-3</v>
          </cell>
          <cell r="DP41">
            <v>6.2000000000000006E-3</v>
          </cell>
          <cell r="DQ41">
            <v>1.0999999999999999E-2</v>
          </cell>
          <cell r="DR41">
            <v>7.5000000000000006E-3</v>
          </cell>
          <cell r="DS41">
            <v>9.6999999999999986E-3</v>
          </cell>
          <cell r="DT41">
            <v>6.2000000000000006E-3</v>
          </cell>
          <cell r="DU41">
            <v>8.8000000000000005E-3</v>
          </cell>
          <cell r="DV41">
            <v>5.4000000000000003E-3</v>
          </cell>
          <cell r="DW41">
            <v>7.7999999999999996E-3</v>
          </cell>
          <cell r="DX41">
            <v>4.0000000000000001E-3</v>
          </cell>
          <cell r="DY41">
            <v>9.7000000000000003E-3</v>
          </cell>
          <cell r="DZ41">
            <v>6.0000000000000001E-3</v>
          </cell>
          <cell r="EA41">
            <v>7.3000000000000001E-3</v>
          </cell>
          <cell r="EB41">
            <v>4.4999999999999997E-3</v>
          </cell>
          <cell r="EC41">
            <v>6.4999999999999997E-3</v>
          </cell>
          <cell r="ED41">
            <v>3.3E-3</v>
          </cell>
          <cell r="EE41">
            <v>7.3000000000000001E-3</v>
          </cell>
          <cell r="EF41">
            <v>4.4999999999999997E-3</v>
          </cell>
          <cell r="EG41">
            <v>6.4999999999999997E-3</v>
          </cell>
          <cell r="EH41">
            <v>3.3E-3</v>
          </cell>
          <cell r="EI41">
            <v>1.83E-2</v>
          </cell>
          <cell r="EJ41">
            <v>1.4800000000000001E-2</v>
          </cell>
          <cell r="EK41">
            <v>1.61E-2</v>
          </cell>
          <cell r="EL41">
            <v>1.26E-2</v>
          </cell>
          <cell r="EM41">
            <v>1.0999999999999999E-2</v>
          </cell>
          <cell r="EN41">
            <v>7.5000000000000006E-3</v>
          </cell>
          <cell r="EO41">
            <v>9.6999999999999986E-3</v>
          </cell>
          <cell r="EP41">
            <v>6.2000000000000006E-3</v>
          </cell>
          <cell r="EQ41">
            <v>1.0999999999999999E-2</v>
          </cell>
          <cell r="ER41">
            <v>7.5000000000000006E-3</v>
          </cell>
          <cell r="ES41">
            <v>9.6999999999999986E-3</v>
          </cell>
          <cell r="ET41">
            <v>6.2000000000000006E-3</v>
          </cell>
          <cell r="EU41">
            <v>8.8000000000000005E-3</v>
          </cell>
          <cell r="EV41">
            <v>5.4000000000000003E-3</v>
          </cell>
          <cell r="EW41">
            <v>7.7999999999999996E-3</v>
          </cell>
          <cell r="EX41">
            <v>4.0000000000000001E-3</v>
          </cell>
          <cell r="EY41">
            <v>9.7000000000000003E-3</v>
          </cell>
          <cell r="EZ41">
            <v>6.0000000000000001E-3</v>
          </cell>
          <cell r="FA41">
            <v>7.3000000000000001E-3</v>
          </cell>
          <cell r="FB41">
            <v>4.4999999999999997E-3</v>
          </cell>
          <cell r="FC41">
            <v>6.4999999999999997E-3</v>
          </cell>
          <cell r="FD41">
            <v>3.3E-3</v>
          </cell>
          <cell r="FE41">
            <v>7.3000000000000001E-3</v>
          </cell>
          <cell r="FF41">
            <v>4.4999999999999997E-3</v>
          </cell>
          <cell r="FG41">
            <v>6.4999999999999997E-3</v>
          </cell>
          <cell r="FH41">
            <v>3.3E-3</v>
          </cell>
          <cell r="FI41">
            <v>2.76E-2</v>
          </cell>
          <cell r="FJ41">
            <v>2.4E-2</v>
          </cell>
          <cell r="FK41">
            <v>2.47E-2</v>
          </cell>
          <cell r="FL41">
            <v>2.1100000000000001E-2</v>
          </cell>
          <cell r="FM41">
            <v>2.76E-2</v>
          </cell>
          <cell r="FN41">
            <v>2.4E-2</v>
          </cell>
          <cell r="FO41">
            <v>2.47E-2</v>
          </cell>
          <cell r="FP41">
            <v>2.1100000000000001E-2</v>
          </cell>
          <cell r="FQ41">
            <v>1.11E-2</v>
          </cell>
          <cell r="FR41">
            <v>8.8000000000000005E-3</v>
          </cell>
          <cell r="FS41">
            <v>8.3999999999999995E-3</v>
          </cell>
          <cell r="FT41">
            <v>5.7999999999999996E-3</v>
          </cell>
          <cell r="FU41">
            <v>1.23E-2</v>
          </cell>
          <cell r="FV41">
            <v>9.1000000000000004E-3</v>
          </cell>
          <cell r="FW41">
            <v>9.7000000000000003E-3</v>
          </cell>
          <cell r="FX41">
            <v>7.6E-3</v>
          </cell>
          <cell r="FY41">
            <v>7.3000000000000001E-3</v>
          </cell>
          <cell r="FZ41">
            <v>5.0000000000000001E-3</v>
          </cell>
          <cell r="GA41">
            <v>9.7000000000000003E-3</v>
          </cell>
          <cell r="GB41">
            <v>7.6E-3</v>
          </cell>
          <cell r="GC41">
            <v>7.3000000000000001E-3</v>
          </cell>
          <cell r="GD41">
            <v>5.0000000000000001E-3</v>
          </cell>
          <cell r="GE41">
            <v>2.18E-2</v>
          </cell>
          <cell r="GF41">
            <v>1.9300000000000001E-2</v>
          </cell>
          <cell r="GG41">
            <v>1.9799999999999998E-2</v>
          </cell>
          <cell r="GH41">
            <v>1.6299999999999999E-2</v>
          </cell>
          <cell r="GI41">
            <v>2.18E-2</v>
          </cell>
          <cell r="GJ41">
            <v>1.9300000000000001E-2</v>
          </cell>
          <cell r="GK41">
            <v>1.9799999999999998E-2</v>
          </cell>
          <cell r="GL41">
            <v>1.6299999999999999E-2</v>
          </cell>
          <cell r="GM41">
            <v>1.11E-2</v>
          </cell>
          <cell r="GN41">
            <v>8.3999999999999995E-3</v>
          </cell>
          <cell r="GO41">
            <v>8.3999999999999995E-3</v>
          </cell>
          <cell r="GP41">
            <v>5.5999999999999999E-3</v>
          </cell>
          <cell r="GQ41">
            <v>1.23E-2</v>
          </cell>
          <cell r="GR41">
            <v>8.8000000000000005E-3</v>
          </cell>
          <cell r="GS41">
            <v>9.7000000000000003E-3</v>
          </cell>
          <cell r="GT41">
            <v>7.3000000000000001E-3</v>
          </cell>
          <cell r="GU41">
            <v>7.3000000000000001E-3</v>
          </cell>
          <cell r="GV41">
            <v>4.7999999999999996E-3</v>
          </cell>
          <cell r="GW41">
            <v>9.7000000000000003E-3</v>
          </cell>
          <cell r="GX41">
            <v>7.3000000000000001E-3</v>
          </cell>
          <cell r="GY41">
            <v>7.3000000000000001E-3</v>
          </cell>
          <cell r="GZ41">
            <v>4.7999999999999996E-3</v>
          </cell>
          <cell r="HA41">
            <v>2.18E-2</v>
          </cell>
          <cell r="HB41">
            <v>1.9300000000000001E-2</v>
          </cell>
          <cell r="HC41">
            <v>1.9799999999999998E-2</v>
          </cell>
          <cell r="HD41">
            <v>1.6299999999999999E-2</v>
          </cell>
          <cell r="HE41">
            <v>2.18E-2</v>
          </cell>
          <cell r="HF41">
            <v>1.9300000000000001E-2</v>
          </cell>
          <cell r="HG41">
            <v>1.9799999999999998E-2</v>
          </cell>
          <cell r="HH41">
            <v>1.6299999999999999E-2</v>
          </cell>
          <cell r="HI41">
            <v>1.11E-2</v>
          </cell>
          <cell r="HJ41">
            <v>8.2000000000000007E-3</v>
          </cell>
          <cell r="HK41">
            <v>8.3999999999999995E-3</v>
          </cell>
          <cell r="HL41">
            <v>5.4000000000000003E-3</v>
          </cell>
          <cell r="HM41">
            <v>1.23E-2</v>
          </cell>
          <cell r="HN41">
            <v>8.6E-3</v>
          </cell>
          <cell r="HO41">
            <v>9.7000000000000003E-3</v>
          </cell>
          <cell r="HP41">
            <v>7.1000000000000004E-3</v>
          </cell>
          <cell r="HQ41">
            <v>7.3000000000000001E-3</v>
          </cell>
          <cell r="HR41">
            <v>4.7000000000000002E-3</v>
          </cell>
          <cell r="HS41">
            <v>9.7000000000000003E-3</v>
          </cell>
          <cell r="HT41">
            <v>7.1000000000000004E-3</v>
          </cell>
          <cell r="HU41">
            <v>7.3000000000000001E-3</v>
          </cell>
          <cell r="HV41">
            <v>4.7000000000000002E-3</v>
          </cell>
          <cell r="HW41" t="str">
            <v>%PPL</v>
          </cell>
        </row>
        <row r="42">
          <cell r="AC42" t="str">
            <v>DOD-ALE GPP 1.0 CPA</v>
          </cell>
          <cell r="AD42" t="str">
            <v>Not Applicable</v>
          </cell>
          <cell r="AE42">
            <v>0</v>
          </cell>
          <cell r="AF42" t="str">
            <v>DOD-ALE GPP 1.0 CPA-Not Applicable</v>
          </cell>
          <cell r="AK42" t="str">
            <v>APJ-B-ALE</v>
          </cell>
          <cell r="AL42" t="str">
            <v>New ALE_CPA_TS_GLD_RFE</v>
          </cell>
          <cell r="AM42" t="str">
            <v>New ALE_CPA_TS_GLD_RFE_FY</v>
          </cell>
          <cell r="AR42" t="str">
            <v>ALE_CPA_TS_BZE_RFE</v>
          </cell>
          <cell r="AS42" t="str">
            <v>ALE_CPA_TS_BZE_FY</v>
          </cell>
          <cell r="AV42" t="str">
            <v>7750 SR-1 Bundles</v>
          </cell>
          <cell r="AW42">
            <v>0.75</v>
          </cell>
          <cell r="AX42">
            <v>0.65</v>
          </cell>
          <cell r="AY42">
            <v>0.65</v>
          </cell>
          <cell r="AZ42">
            <v>0.75</v>
          </cell>
          <cell r="BA42">
            <v>0.59799999999999998</v>
          </cell>
          <cell r="BB42">
            <v>0.65</v>
          </cell>
          <cell r="BC42">
            <v>0.75</v>
          </cell>
          <cell r="BD42">
            <v>0.59799999999999998</v>
          </cell>
          <cell r="BE42">
            <v>0.65</v>
          </cell>
          <cell r="BF42">
            <v>0.55000000000000004</v>
          </cell>
          <cell r="BG42">
            <v>0.5</v>
          </cell>
          <cell r="BH42">
            <v>0.65</v>
          </cell>
          <cell r="BI42">
            <v>0.78</v>
          </cell>
          <cell r="BJ42">
            <v>0.6</v>
          </cell>
          <cell r="BK42">
            <v>2.5000000000000001E-2</v>
          </cell>
          <cell r="BL42" t="str">
            <v>%PMP</v>
          </cell>
          <cell r="BM42">
            <v>1.83E-2</v>
          </cell>
          <cell r="BN42">
            <v>1.4800000000000001E-2</v>
          </cell>
          <cell r="BO42">
            <v>1.5299999999999999E-2</v>
          </cell>
          <cell r="BP42">
            <v>1.18E-2</v>
          </cell>
          <cell r="BQ42">
            <v>1.83E-2</v>
          </cell>
          <cell r="BR42">
            <v>1.4800000000000001E-2</v>
          </cell>
          <cell r="BS42">
            <v>1.5299999999999999E-2</v>
          </cell>
          <cell r="BT42">
            <v>1.18E-2</v>
          </cell>
          <cell r="BU42">
            <v>1.34E-2</v>
          </cell>
          <cell r="BV42">
            <v>7.0000000000000001E-3</v>
          </cell>
          <cell r="BW42">
            <v>1.0149999999999999E-2</v>
          </cell>
          <cell r="BX42">
            <v>4.0800000000000003E-3</v>
          </cell>
          <cell r="BY42">
            <v>1.4749999999999999E-2</v>
          </cell>
          <cell r="BZ42">
            <v>8.3000000000000001E-3</v>
          </cell>
          <cell r="CA42">
            <v>1.12E-2</v>
          </cell>
          <cell r="CB42">
            <v>5.8799999999999998E-3</v>
          </cell>
          <cell r="CC42">
            <v>8.4799999999999997E-3</v>
          </cell>
          <cell r="CD42">
            <v>3.4099999999999998E-3</v>
          </cell>
          <cell r="CE42">
            <v>1.12E-2</v>
          </cell>
          <cell r="CF42">
            <v>5.8799999999999998E-3</v>
          </cell>
          <cell r="CG42">
            <v>8.4799999999999997E-3</v>
          </cell>
          <cell r="CH42">
            <v>3.4099999999999998E-3</v>
          </cell>
          <cell r="CI42">
            <v>2.3900000000000001E-2</v>
          </cell>
          <cell r="CJ42">
            <v>2.0399999999999998E-2</v>
          </cell>
          <cell r="CK42">
            <v>2.1700000000000001E-2</v>
          </cell>
          <cell r="CL42">
            <v>1.8200000000000001E-2</v>
          </cell>
          <cell r="CM42">
            <v>2.3900000000000001E-2</v>
          </cell>
          <cell r="CN42">
            <v>2.0399999999999998E-2</v>
          </cell>
          <cell r="CO42">
            <v>2.1700000000000001E-2</v>
          </cell>
          <cell r="CP42">
            <v>1.8200000000000001E-2</v>
          </cell>
          <cell r="CQ42">
            <v>1.0105019968878269E-2</v>
          </cell>
          <cell r="CR42">
            <v>5.0199131458298482E-3</v>
          </cell>
          <cell r="CS42">
            <v>8.67075907006974E-3</v>
          </cell>
          <cell r="CT42">
            <v>3.4813423634716088E-3</v>
          </cell>
          <cell r="CU42">
            <v>1.1115521965766097E-2</v>
          </cell>
          <cell r="CV42">
            <v>5.9163262075851777E-3</v>
          </cell>
          <cell r="CW42">
            <v>9.2186147084503504E-3</v>
          </cell>
          <cell r="CX42">
            <v>4.6316104543262654E-3</v>
          </cell>
          <cell r="CY42">
            <v>7.8804287023849767E-3</v>
          </cell>
          <cell r="CZ42">
            <v>3.1670402143547179E-3</v>
          </cell>
          <cell r="DA42">
            <v>9.2186147084503504E-3</v>
          </cell>
          <cell r="DB42">
            <v>4.6316104543262654E-3</v>
          </cell>
          <cell r="DC42">
            <v>7.8804287023849767E-3</v>
          </cell>
          <cell r="DD42">
            <v>3.1670402143547179E-3</v>
          </cell>
          <cell r="DE42">
            <v>1.38E-2</v>
          </cell>
          <cell r="DF42">
            <v>1.03E-2</v>
          </cell>
          <cell r="DG42">
            <v>1.21E-2</v>
          </cell>
          <cell r="DH42">
            <v>8.6E-3</v>
          </cell>
          <cell r="DI42">
            <v>2.4400000000000002E-2</v>
          </cell>
          <cell r="DJ42">
            <v>2.0899999999999998E-2</v>
          </cell>
          <cell r="DK42">
            <v>2.1499999999999998E-2</v>
          </cell>
          <cell r="DL42">
            <v>1.7999999999999999E-2</v>
          </cell>
          <cell r="DM42">
            <v>1.38E-2</v>
          </cell>
          <cell r="DN42">
            <v>1.03E-2</v>
          </cell>
          <cell r="DO42">
            <v>1.21E-2</v>
          </cell>
          <cell r="DP42">
            <v>8.6E-3</v>
          </cell>
          <cell r="DQ42">
            <v>1.38E-2</v>
          </cell>
          <cell r="DR42">
            <v>1.03E-2</v>
          </cell>
          <cell r="DS42">
            <v>1.21E-2</v>
          </cell>
          <cell r="DT42">
            <v>8.6E-3</v>
          </cell>
          <cell r="DU42">
            <v>1.0070000000000001E-2</v>
          </cell>
          <cell r="DV42">
            <v>6.77E-3</v>
          </cell>
          <cell r="DW42">
            <v>8.8800000000000007E-3</v>
          </cell>
          <cell r="DX42">
            <v>5.5799999999999999E-3</v>
          </cell>
          <cell r="DY42">
            <v>1.108E-2</v>
          </cell>
          <cell r="DZ42">
            <v>8.2400000000000008E-3</v>
          </cell>
          <cell r="EA42">
            <v>8.4200000000000004E-3</v>
          </cell>
          <cell r="EB42">
            <v>5.6699999999999997E-3</v>
          </cell>
          <cell r="EC42">
            <v>7.4099999999999999E-3</v>
          </cell>
          <cell r="ED42">
            <v>4.6699999999999997E-3</v>
          </cell>
          <cell r="EE42">
            <v>8.4200000000000004E-3</v>
          </cell>
          <cell r="EF42">
            <v>5.6699999999999997E-3</v>
          </cell>
          <cell r="EG42">
            <v>7.4099999999999999E-3</v>
          </cell>
          <cell r="EH42">
            <v>4.6699999999999997E-3</v>
          </cell>
          <cell r="EI42">
            <v>2.4400000000000002E-2</v>
          </cell>
          <cell r="EJ42">
            <v>2.0899999999999998E-2</v>
          </cell>
          <cell r="EK42">
            <v>2.1499999999999998E-2</v>
          </cell>
          <cell r="EL42">
            <v>1.7999999999999999E-2</v>
          </cell>
          <cell r="EM42">
            <v>1.38E-2</v>
          </cell>
          <cell r="EN42">
            <v>1.03E-2</v>
          </cell>
          <cell r="EO42">
            <v>1.21E-2</v>
          </cell>
          <cell r="EP42">
            <v>8.6E-3</v>
          </cell>
          <cell r="EQ42">
            <v>1.38E-2</v>
          </cell>
          <cell r="ER42">
            <v>1.03E-2</v>
          </cell>
          <cell r="ES42">
            <v>1.21E-2</v>
          </cell>
          <cell r="ET42">
            <v>8.6E-3</v>
          </cell>
          <cell r="EU42">
            <v>1.0070000000000001E-2</v>
          </cell>
          <cell r="EV42">
            <v>6.77E-3</v>
          </cell>
          <cell r="EW42">
            <v>8.8800000000000007E-3</v>
          </cell>
          <cell r="EX42">
            <v>5.5799999999999999E-3</v>
          </cell>
          <cell r="EY42">
            <v>1.108E-2</v>
          </cell>
          <cell r="EZ42">
            <v>8.2400000000000008E-3</v>
          </cell>
          <cell r="FA42">
            <v>8.4200000000000004E-3</v>
          </cell>
          <cell r="FB42">
            <v>5.6699999999999997E-3</v>
          </cell>
          <cell r="FC42">
            <v>7.4099999999999999E-3</v>
          </cell>
          <cell r="FD42">
            <v>4.6699999999999997E-3</v>
          </cell>
          <cell r="FE42">
            <v>8.4200000000000004E-3</v>
          </cell>
          <cell r="FF42">
            <v>5.6699999999999997E-3</v>
          </cell>
          <cell r="FG42">
            <v>7.4099999999999999E-3</v>
          </cell>
          <cell r="FH42">
            <v>4.6699999999999997E-3</v>
          </cell>
          <cell r="FI42">
            <v>2.76E-2</v>
          </cell>
          <cell r="FJ42">
            <v>2.4E-2</v>
          </cell>
          <cell r="FK42">
            <v>2.47E-2</v>
          </cell>
          <cell r="FL42">
            <v>2.1100000000000001E-2</v>
          </cell>
          <cell r="FM42">
            <v>2.76E-2</v>
          </cell>
          <cell r="FN42">
            <v>2.4E-2</v>
          </cell>
          <cell r="FO42">
            <v>2.47E-2</v>
          </cell>
          <cell r="FP42">
            <v>2.1100000000000001E-2</v>
          </cell>
          <cell r="FQ42">
            <v>2.5600000000000001E-2</v>
          </cell>
          <cell r="FR42">
            <v>2.0109999999999999E-2</v>
          </cell>
          <cell r="FS42">
            <v>1.9429999999999999E-2</v>
          </cell>
          <cell r="FT42">
            <v>1.3259999999999999E-2</v>
          </cell>
          <cell r="FU42">
            <v>2.8119999999999999E-2</v>
          </cell>
          <cell r="FV42">
            <v>2.0799999999999999E-2</v>
          </cell>
          <cell r="FW42">
            <v>2.2169999999999999E-2</v>
          </cell>
          <cell r="FX42">
            <v>1.737E-2</v>
          </cell>
          <cell r="FY42">
            <v>1.668E-2</v>
          </cell>
          <cell r="FZ42">
            <v>1.142E-2</v>
          </cell>
          <cell r="GA42">
            <v>2.2169999999999999E-2</v>
          </cell>
          <cell r="GB42">
            <v>1.737E-2</v>
          </cell>
          <cell r="GC42">
            <v>1.668E-2</v>
          </cell>
          <cell r="GD42">
            <v>1.142E-2</v>
          </cell>
          <cell r="GE42">
            <v>2.18E-2</v>
          </cell>
          <cell r="GF42">
            <v>1.9300000000000001E-2</v>
          </cell>
          <cell r="GG42">
            <v>1.9799999999999998E-2</v>
          </cell>
          <cell r="GH42">
            <v>1.6299999999999999E-2</v>
          </cell>
          <cell r="GI42">
            <v>2.18E-2</v>
          </cell>
          <cell r="GJ42">
            <v>1.9300000000000001E-2</v>
          </cell>
          <cell r="GK42">
            <v>1.9799999999999998E-2</v>
          </cell>
          <cell r="GL42">
            <v>1.6299999999999999E-2</v>
          </cell>
          <cell r="GM42">
            <v>2.5600000000000001E-2</v>
          </cell>
          <cell r="GN42">
            <v>2.0109999999999999E-2</v>
          </cell>
          <cell r="GO42">
            <v>1.9429999999999999E-2</v>
          </cell>
          <cell r="GP42">
            <v>1.3259999999999999E-2</v>
          </cell>
          <cell r="GQ42">
            <v>2.8119999999999999E-2</v>
          </cell>
          <cell r="GR42">
            <v>2.0799999999999999E-2</v>
          </cell>
          <cell r="GS42">
            <v>2.2440000000000002E-2</v>
          </cell>
          <cell r="GT42">
            <v>1.669E-2</v>
          </cell>
          <cell r="GU42">
            <v>1.6889999999999999E-2</v>
          </cell>
          <cell r="GV42">
            <v>1.111E-2</v>
          </cell>
          <cell r="GW42">
            <v>2.2440000000000002E-2</v>
          </cell>
          <cell r="GX42">
            <v>1.669E-2</v>
          </cell>
          <cell r="GY42">
            <v>1.6889999999999999E-2</v>
          </cell>
          <cell r="GZ42">
            <v>1.111E-2</v>
          </cell>
          <cell r="HA42">
            <v>2.18E-2</v>
          </cell>
          <cell r="HB42">
            <v>1.9300000000000001E-2</v>
          </cell>
          <cell r="HC42">
            <v>1.9799999999999998E-2</v>
          </cell>
          <cell r="HD42">
            <v>1.6299999999999999E-2</v>
          </cell>
          <cell r="HE42">
            <v>2.18E-2</v>
          </cell>
          <cell r="HF42">
            <v>1.9300000000000001E-2</v>
          </cell>
          <cell r="HG42">
            <v>1.9799999999999998E-2</v>
          </cell>
          <cell r="HH42">
            <v>1.6299999999999999E-2</v>
          </cell>
          <cell r="HI42">
            <v>2.5680000000000001E-2</v>
          </cell>
          <cell r="HJ42">
            <v>1.8970000000000001E-2</v>
          </cell>
          <cell r="HK42">
            <v>1.9439999999999999E-2</v>
          </cell>
          <cell r="HL42">
            <v>1.2500000000000001E-2</v>
          </cell>
          <cell r="HM42">
            <v>2.8459999999999999E-2</v>
          </cell>
          <cell r="HN42">
            <v>1.9900000000000001E-2</v>
          </cell>
          <cell r="HO42">
            <v>2.2440000000000002E-2</v>
          </cell>
          <cell r="HP42">
            <v>1.643E-2</v>
          </cell>
          <cell r="HQ42">
            <v>1.6899999999999998E-2</v>
          </cell>
          <cell r="HR42">
            <v>1.111E-2</v>
          </cell>
          <cell r="HS42">
            <v>2.2440000000000002E-2</v>
          </cell>
          <cell r="HT42">
            <v>1.643E-2</v>
          </cell>
          <cell r="HU42">
            <v>1.6899999999999998E-2</v>
          </cell>
          <cell r="HV42">
            <v>1.111E-2</v>
          </cell>
          <cell r="HW42" t="str">
            <v>%PPL</v>
          </cell>
        </row>
        <row r="43">
          <cell r="AC43" t="str">
            <v>DPD-GPP 3.0 PPA DIS (Distributor)</v>
          </cell>
          <cell r="AD43" t="str">
            <v>Not Transferred</v>
          </cell>
          <cell r="AE43">
            <v>0</v>
          </cell>
          <cell r="AF43" t="str">
            <v>DPD-GPP 3.0 PPA DIS (Distributor)-Not Transferred</v>
          </cell>
          <cell r="AK43" t="str">
            <v>APJ-C-ALE</v>
          </cell>
          <cell r="AL43" t="str">
            <v>New ALE_CPA_TS_GLD_RFE</v>
          </cell>
          <cell r="AM43" t="str">
            <v>New ALE_CPA_TS_GLD_RFE_FY</v>
          </cell>
          <cell r="AR43" t="str">
            <v>ALE_CPA_TS_BZE_RFE</v>
          </cell>
          <cell r="AS43" t="str">
            <v>ALE_CPA_TS_BZE_FY</v>
          </cell>
          <cell r="AV43" t="str">
            <v>7750 SR-1 Common Equipment</v>
          </cell>
          <cell r="AW43">
            <v>0.75</v>
          </cell>
          <cell r="AX43">
            <v>0.65</v>
          </cell>
          <cell r="AY43">
            <v>0.65</v>
          </cell>
          <cell r="AZ43">
            <v>0.75</v>
          </cell>
          <cell r="BA43">
            <v>0.59799999999999998</v>
          </cell>
          <cell r="BB43">
            <v>0.65</v>
          </cell>
          <cell r="BC43">
            <v>0.75</v>
          </cell>
          <cell r="BD43">
            <v>0.59799999999999998</v>
          </cell>
          <cell r="BE43">
            <v>0.65</v>
          </cell>
          <cell r="BF43">
            <v>0.55000000000000004</v>
          </cell>
          <cell r="BG43">
            <v>0.5</v>
          </cell>
          <cell r="BH43">
            <v>0.65</v>
          </cell>
          <cell r="BI43">
            <v>0.78</v>
          </cell>
          <cell r="BJ43">
            <v>0.6</v>
          </cell>
          <cell r="BK43">
            <v>2.5000000000000001E-2</v>
          </cell>
          <cell r="BL43" t="str">
            <v>%PMP</v>
          </cell>
          <cell r="BM43">
            <v>1.83E-2</v>
          </cell>
          <cell r="BN43">
            <v>1.4800000000000001E-2</v>
          </cell>
          <cell r="BO43">
            <v>1.5299999999999999E-2</v>
          </cell>
          <cell r="BP43">
            <v>1.18E-2</v>
          </cell>
          <cell r="BQ43">
            <v>1.83E-2</v>
          </cell>
          <cell r="BR43">
            <v>1.4800000000000001E-2</v>
          </cell>
          <cell r="BS43">
            <v>1.5299999999999999E-2</v>
          </cell>
          <cell r="BT43">
            <v>1.18E-2</v>
          </cell>
          <cell r="BU43">
            <v>1.34E-2</v>
          </cell>
          <cell r="BV43">
            <v>7.0000000000000001E-3</v>
          </cell>
          <cell r="BW43">
            <v>1.0149999999999999E-2</v>
          </cell>
          <cell r="BX43">
            <v>4.0800000000000003E-3</v>
          </cell>
          <cell r="BY43">
            <v>1.4749999999999999E-2</v>
          </cell>
          <cell r="BZ43">
            <v>8.3000000000000001E-3</v>
          </cell>
          <cell r="CA43">
            <v>1.12E-2</v>
          </cell>
          <cell r="CB43">
            <v>5.8799999999999998E-3</v>
          </cell>
          <cell r="CC43">
            <v>8.4799999999999997E-3</v>
          </cell>
          <cell r="CD43">
            <v>3.4099999999999998E-3</v>
          </cell>
          <cell r="CE43">
            <v>1.12E-2</v>
          </cell>
          <cell r="CF43">
            <v>5.8799999999999998E-3</v>
          </cell>
          <cell r="CG43">
            <v>8.4799999999999997E-3</v>
          </cell>
          <cell r="CH43">
            <v>3.4099999999999998E-3</v>
          </cell>
          <cell r="CI43">
            <v>2.3900000000000001E-2</v>
          </cell>
          <cell r="CJ43">
            <v>2.0399999999999998E-2</v>
          </cell>
          <cell r="CK43">
            <v>2.1700000000000001E-2</v>
          </cell>
          <cell r="CL43">
            <v>1.8200000000000001E-2</v>
          </cell>
          <cell r="CM43">
            <v>2.3900000000000001E-2</v>
          </cell>
          <cell r="CN43">
            <v>2.0399999999999998E-2</v>
          </cell>
          <cell r="CO43">
            <v>2.1700000000000001E-2</v>
          </cell>
          <cell r="CP43">
            <v>1.8200000000000001E-2</v>
          </cell>
          <cell r="CQ43">
            <v>1.0105019968878269E-2</v>
          </cell>
          <cell r="CR43">
            <v>5.0199131458298482E-3</v>
          </cell>
          <cell r="CS43">
            <v>8.67075907006974E-3</v>
          </cell>
          <cell r="CT43">
            <v>3.4813423634716088E-3</v>
          </cell>
          <cell r="CU43">
            <v>1.1115521965766097E-2</v>
          </cell>
          <cell r="CV43">
            <v>5.9163262075851777E-3</v>
          </cell>
          <cell r="CW43">
            <v>9.2186147084503504E-3</v>
          </cell>
          <cell r="CX43">
            <v>4.6316104543262654E-3</v>
          </cell>
          <cell r="CY43">
            <v>7.8804287023849767E-3</v>
          </cell>
          <cell r="CZ43">
            <v>3.1670402143547179E-3</v>
          </cell>
          <cell r="DA43">
            <v>9.2186147084503504E-3</v>
          </cell>
          <cell r="DB43">
            <v>4.6316104543262654E-3</v>
          </cell>
          <cell r="DC43">
            <v>7.8804287023849767E-3</v>
          </cell>
          <cell r="DD43">
            <v>3.1670402143547179E-3</v>
          </cell>
          <cell r="DE43">
            <v>1.38E-2</v>
          </cell>
          <cell r="DF43">
            <v>1.03E-2</v>
          </cell>
          <cell r="DG43">
            <v>1.21E-2</v>
          </cell>
          <cell r="DH43">
            <v>8.6E-3</v>
          </cell>
          <cell r="DI43">
            <v>2.4400000000000002E-2</v>
          </cell>
          <cell r="DJ43">
            <v>2.0899999999999998E-2</v>
          </cell>
          <cell r="DK43">
            <v>2.1499999999999998E-2</v>
          </cell>
          <cell r="DL43">
            <v>1.7999999999999999E-2</v>
          </cell>
          <cell r="DM43">
            <v>1.38E-2</v>
          </cell>
          <cell r="DN43">
            <v>1.03E-2</v>
          </cell>
          <cell r="DO43">
            <v>1.21E-2</v>
          </cell>
          <cell r="DP43">
            <v>8.6E-3</v>
          </cell>
          <cell r="DQ43">
            <v>1.38E-2</v>
          </cell>
          <cell r="DR43">
            <v>1.03E-2</v>
          </cell>
          <cell r="DS43">
            <v>1.21E-2</v>
          </cell>
          <cell r="DT43">
            <v>8.6E-3</v>
          </cell>
          <cell r="DU43">
            <v>1.0070000000000001E-2</v>
          </cell>
          <cell r="DV43">
            <v>6.77E-3</v>
          </cell>
          <cell r="DW43">
            <v>8.8800000000000007E-3</v>
          </cell>
          <cell r="DX43">
            <v>5.5799999999999999E-3</v>
          </cell>
          <cell r="DY43">
            <v>1.108E-2</v>
          </cell>
          <cell r="DZ43">
            <v>8.2400000000000008E-3</v>
          </cell>
          <cell r="EA43">
            <v>8.4200000000000004E-3</v>
          </cell>
          <cell r="EB43">
            <v>5.6699999999999997E-3</v>
          </cell>
          <cell r="EC43">
            <v>7.4099999999999999E-3</v>
          </cell>
          <cell r="ED43">
            <v>4.6699999999999997E-3</v>
          </cell>
          <cell r="EE43">
            <v>8.4200000000000004E-3</v>
          </cell>
          <cell r="EF43">
            <v>5.6699999999999997E-3</v>
          </cell>
          <cell r="EG43">
            <v>7.4099999999999999E-3</v>
          </cell>
          <cell r="EH43">
            <v>4.6699999999999997E-3</v>
          </cell>
          <cell r="EI43">
            <v>2.4400000000000002E-2</v>
          </cell>
          <cell r="EJ43">
            <v>2.0899999999999998E-2</v>
          </cell>
          <cell r="EK43">
            <v>2.1499999999999998E-2</v>
          </cell>
          <cell r="EL43">
            <v>1.7999999999999999E-2</v>
          </cell>
          <cell r="EM43">
            <v>1.38E-2</v>
          </cell>
          <cell r="EN43">
            <v>1.03E-2</v>
          </cell>
          <cell r="EO43">
            <v>1.21E-2</v>
          </cell>
          <cell r="EP43">
            <v>8.6E-3</v>
          </cell>
          <cell r="EQ43">
            <v>1.38E-2</v>
          </cell>
          <cell r="ER43">
            <v>1.03E-2</v>
          </cell>
          <cell r="ES43">
            <v>1.21E-2</v>
          </cell>
          <cell r="ET43">
            <v>8.6E-3</v>
          </cell>
          <cell r="EU43">
            <v>1.0070000000000001E-2</v>
          </cell>
          <cell r="EV43">
            <v>6.77E-3</v>
          </cell>
          <cell r="EW43">
            <v>8.8800000000000007E-3</v>
          </cell>
          <cell r="EX43">
            <v>5.5799999999999999E-3</v>
          </cell>
          <cell r="EY43">
            <v>1.108E-2</v>
          </cell>
          <cell r="EZ43">
            <v>8.2400000000000008E-3</v>
          </cell>
          <cell r="FA43">
            <v>8.4200000000000004E-3</v>
          </cell>
          <cell r="FB43">
            <v>5.6699999999999997E-3</v>
          </cell>
          <cell r="FC43">
            <v>7.4099999999999999E-3</v>
          </cell>
          <cell r="FD43">
            <v>4.6699999999999997E-3</v>
          </cell>
          <cell r="FE43">
            <v>8.4200000000000004E-3</v>
          </cell>
          <cell r="FF43">
            <v>5.6699999999999997E-3</v>
          </cell>
          <cell r="FG43">
            <v>7.4099999999999999E-3</v>
          </cell>
          <cell r="FH43">
            <v>4.6699999999999997E-3</v>
          </cell>
          <cell r="FI43">
            <v>2.76E-2</v>
          </cell>
          <cell r="FJ43">
            <v>2.4E-2</v>
          </cell>
          <cell r="FK43">
            <v>2.47E-2</v>
          </cell>
          <cell r="FL43">
            <v>2.1100000000000001E-2</v>
          </cell>
          <cell r="FM43">
            <v>2.76E-2</v>
          </cell>
          <cell r="FN43">
            <v>2.4E-2</v>
          </cell>
          <cell r="FO43">
            <v>2.47E-2</v>
          </cell>
          <cell r="FP43">
            <v>2.1100000000000001E-2</v>
          </cell>
          <cell r="FQ43">
            <v>2.5600000000000001E-2</v>
          </cell>
          <cell r="FR43">
            <v>2.0109999999999999E-2</v>
          </cell>
          <cell r="FS43">
            <v>1.9429999999999999E-2</v>
          </cell>
          <cell r="FT43">
            <v>1.3259999999999999E-2</v>
          </cell>
          <cell r="FU43">
            <v>2.8119999999999999E-2</v>
          </cell>
          <cell r="FV43">
            <v>2.0799999999999999E-2</v>
          </cell>
          <cell r="FW43">
            <v>2.2169999999999999E-2</v>
          </cell>
          <cell r="FX43">
            <v>1.737E-2</v>
          </cell>
          <cell r="FY43">
            <v>1.668E-2</v>
          </cell>
          <cell r="FZ43">
            <v>1.142E-2</v>
          </cell>
          <cell r="GA43">
            <v>2.2169999999999999E-2</v>
          </cell>
          <cell r="GB43">
            <v>1.737E-2</v>
          </cell>
          <cell r="GC43">
            <v>1.668E-2</v>
          </cell>
          <cell r="GD43">
            <v>1.142E-2</v>
          </cell>
          <cell r="GE43">
            <v>2.18E-2</v>
          </cell>
          <cell r="GF43">
            <v>1.9300000000000001E-2</v>
          </cell>
          <cell r="GG43">
            <v>1.9799999999999998E-2</v>
          </cell>
          <cell r="GH43">
            <v>1.6299999999999999E-2</v>
          </cell>
          <cell r="GI43">
            <v>2.18E-2</v>
          </cell>
          <cell r="GJ43">
            <v>1.9300000000000001E-2</v>
          </cell>
          <cell r="GK43">
            <v>1.9799999999999998E-2</v>
          </cell>
          <cell r="GL43">
            <v>1.6299999999999999E-2</v>
          </cell>
          <cell r="GM43">
            <v>2.5600000000000001E-2</v>
          </cell>
          <cell r="GN43">
            <v>2.0109999999999999E-2</v>
          </cell>
          <cell r="GO43">
            <v>1.9429999999999999E-2</v>
          </cell>
          <cell r="GP43">
            <v>1.3259999999999999E-2</v>
          </cell>
          <cell r="GQ43">
            <v>2.8119999999999999E-2</v>
          </cell>
          <cell r="GR43">
            <v>2.0799999999999999E-2</v>
          </cell>
          <cell r="GS43">
            <v>2.2440000000000002E-2</v>
          </cell>
          <cell r="GT43">
            <v>1.669E-2</v>
          </cell>
          <cell r="GU43">
            <v>1.6889999999999999E-2</v>
          </cell>
          <cell r="GV43">
            <v>1.111E-2</v>
          </cell>
          <cell r="GW43">
            <v>2.2440000000000002E-2</v>
          </cell>
          <cell r="GX43">
            <v>1.669E-2</v>
          </cell>
          <cell r="GY43">
            <v>1.6889999999999999E-2</v>
          </cell>
          <cell r="GZ43">
            <v>1.111E-2</v>
          </cell>
          <cell r="HA43">
            <v>2.18E-2</v>
          </cell>
          <cell r="HB43">
            <v>1.9300000000000001E-2</v>
          </cell>
          <cell r="HC43">
            <v>1.9799999999999998E-2</v>
          </cell>
          <cell r="HD43">
            <v>1.6299999999999999E-2</v>
          </cell>
          <cell r="HE43">
            <v>2.18E-2</v>
          </cell>
          <cell r="HF43">
            <v>1.9300000000000001E-2</v>
          </cell>
          <cell r="HG43">
            <v>1.9799999999999998E-2</v>
          </cell>
          <cell r="HH43">
            <v>1.6299999999999999E-2</v>
          </cell>
          <cell r="HI43">
            <v>2.5680000000000001E-2</v>
          </cell>
          <cell r="HJ43">
            <v>1.8970000000000001E-2</v>
          </cell>
          <cell r="HK43">
            <v>1.9439999999999999E-2</v>
          </cell>
          <cell r="HL43">
            <v>1.2500000000000001E-2</v>
          </cell>
          <cell r="HM43">
            <v>2.8459999999999999E-2</v>
          </cell>
          <cell r="HN43">
            <v>1.9900000000000001E-2</v>
          </cell>
          <cell r="HO43">
            <v>2.2440000000000002E-2</v>
          </cell>
          <cell r="HP43">
            <v>1.643E-2</v>
          </cell>
          <cell r="HQ43">
            <v>1.6899999999999998E-2</v>
          </cell>
          <cell r="HR43">
            <v>1.111E-2</v>
          </cell>
          <cell r="HS43">
            <v>2.2440000000000002E-2</v>
          </cell>
          <cell r="HT43">
            <v>1.643E-2</v>
          </cell>
          <cell r="HU43">
            <v>1.6899999999999998E-2</v>
          </cell>
          <cell r="HV43">
            <v>1.111E-2</v>
          </cell>
          <cell r="HW43" t="str">
            <v>%PPL</v>
          </cell>
        </row>
        <row r="44">
          <cell r="AC44" t="str">
            <v>DPD-GPP 3.0 PPA DIS (Distributor)</v>
          </cell>
          <cell r="AD44" t="str">
            <v>Transferred</v>
          </cell>
          <cell r="AE44">
            <v>0.02</v>
          </cell>
          <cell r="AF44" t="str">
            <v>DPD-GPP 3.0 PPA DIS (Distributor)-Transferred</v>
          </cell>
          <cell r="AV44" t="str">
            <v>7750 SR-1/2/3e Common Equipment</v>
          </cell>
          <cell r="AW44">
            <v>0.8</v>
          </cell>
          <cell r="AX44">
            <v>0.7</v>
          </cell>
          <cell r="AY44">
            <v>0.75</v>
          </cell>
          <cell r="AZ44">
            <v>0.75</v>
          </cell>
          <cell r="BA44">
            <v>0.71</v>
          </cell>
          <cell r="BB44">
            <v>0.75</v>
          </cell>
          <cell r="BC44">
            <v>0.75</v>
          </cell>
          <cell r="BD44">
            <v>0.71</v>
          </cell>
          <cell r="BE44">
            <v>0.75</v>
          </cell>
          <cell r="BF44">
            <v>0.75</v>
          </cell>
          <cell r="BG44">
            <v>0.75</v>
          </cell>
          <cell r="BH44">
            <v>0.75</v>
          </cell>
          <cell r="BI44">
            <v>0.77</v>
          </cell>
          <cell r="BJ44">
            <v>0.6</v>
          </cell>
          <cell r="BK44">
            <v>2.5000000000000001E-2</v>
          </cell>
          <cell r="BL44" t="str">
            <v>%PMP</v>
          </cell>
          <cell r="BM44">
            <v>1.4E-2</v>
          </cell>
          <cell r="BN44">
            <v>1.0500000000000001E-2</v>
          </cell>
          <cell r="BO44">
            <v>1.06E-2</v>
          </cell>
          <cell r="BP44">
            <v>7.1000000000000004E-3</v>
          </cell>
          <cell r="BQ44">
            <v>1.4E-2</v>
          </cell>
          <cell r="BR44">
            <v>1.0500000000000001E-2</v>
          </cell>
          <cell r="BS44">
            <v>1.06E-2</v>
          </cell>
          <cell r="BT44">
            <v>7.1000000000000004E-3</v>
          </cell>
          <cell r="BU44">
            <v>1.1200000000000002E-2</v>
          </cell>
          <cell r="BV44">
            <v>5.8800000000000007E-3</v>
          </cell>
          <cell r="BW44">
            <v>8.4799999999999997E-3</v>
          </cell>
          <cell r="BX44">
            <v>3.4080000000000004E-3</v>
          </cell>
          <cell r="BY44">
            <v>1.2320000000000003E-2</v>
          </cell>
          <cell r="BZ44">
            <v>6.9300000000000013E-3</v>
          </cell>
          <cell r="CA44">
            <v>8.9600000000000009E-3</v>
          </cell>
          <cell r="CB44">
            <v>4.7039999999999998E-3</v>
          </cell>
          <cell r="CC44">
            <v>6.7840000000000001E-3</v>
          </cell>
          <cell r="CD44">
            <v>2.7263999999999999E-3</v>
          </cell>
          <cell r="CE44">
            <v>8.9600000000000009E-3</v>
          </cell>
          <cell r="CF44">
            <v>4.7039999999999998E-3</v>
          </cell>
          <cell r="CG44">
            <v>6.7840000000000001E-3</v>
          </cell>
          <cell r="CH44">
            <v>2.7263999999999999E-3</v>
          </cell>
          <cell r="CI44">
            <v>1.3100000000000001E-2</v>
          </cell>
          <cell r="CJ44">
            <v>9.6000000000000009E-3</v>
          </cell>
          <cell r="CK44">
            <v>1.18E-2</v>
          </cell>
          <cell r="CL44">
            <v>8.3000000000000001E-3</v>
          </cell>
          <cell r="CM44">
            <v>1.3100000000000001E-2</v>
          </cell>
          <cell r="CN44">
            <v>9.6000000000000009E-3</v>
          </cell>
          <cell r="CO44">
            <v>1.18E-2</v>
          </cell>
          <cell r="CP44">
            <v>8.3000000000000001E-3</v>
          </cell>
          <cell r="CQ44">
            <v>1.0063256512499504E-2</v>
          </cell>
          <cell r="CR44">
            <v>4.9991661384674946E-3</v>
          </cell>
          <cell r="CS44">
            <v>8.6349233300802193E-3</v>
          </cell>
          <cell r="CT44">
            <v>3.46695417914499E-3</v>
          </cell>
          <cell r="CU44">
            <v>1.1069582163749456E-2</v>
          </cell>
          <cell r="CV44">
            <v>5.8918743774795477E-3</v>
          </cell>
          <cell r="CW44">
            <v>8.0506052099996034E-3</v>
          </cell>
          <cell r="CX44">
            <v>4.0447798756691553E-3</v>
          </cell>
          <cell r="CY44">
            <v>6.8819689698383707E-3</v>
          </cell>
          <cell r="CZ44">
            <v>2.7657724350482506E-3</v>
          </cell>
          <cell r="DA44">
            <v>8.0506052099996034E-3</v>
          </cell>
          <cell r="DB44">
            <v>4.0447798756691553E-3</v>
          </cell>
          <cell r="DC44">
            <v>6.8819689698383707E-3</v>
          </cell>
          <cell r="DD44">
            <v>2.7657724350482506E-3</v>
          </cell>
          <cell r="DE44">
            <v>1.0999999999999999E-2</v>
          </cell>
          <cell r="DF44">
            <v>7.4999999999999997E-3</v>
          </cell>
          <cell r="DG44">
            <v>9.7000000000000003E-3</v>
          </cell>
          <cell r="DH44">
            <v>6.1999999999999998E-3</v>
          </cell>
          <cell r="DI44">
            <v>1.83E-2</v>
          </cell>
          <cell r="DJ44">
            <v>1.4800000000000001E-2</v>
          </cell>
          <cell r="DK44">
            <v>1.61E-2</v>
          </cell>
          <cell r="DL44">
            <v>1.26E-2</v>
          </cell>
          <cell r="DM44">
            <v>1.0999999999999999E-2</v>
          </cell>
          <cell r="DN44">
            <v>7.5000000000000006E-3</v>
          </cell>
          <cell r="DO44">
            <v>9.6999999999999986E-3</v>
          </cell>
          <cell r="DP44">
            <v>6.2000000000000006E-3</v>
          </cell>
          <cell r="DQ44">
            <v>1.0999999999999999E-2</v>
          </cell>
          <cell r="DR44">
            <v>7.5000000000000006E-3</v>
          </cell>
          <cell r="DS44">
            <v>9.6999999999999986E-3</v>
          </cell>
          <cell r="DT44">
            <v>6.2000000000000006E-3</v>
          </cell>
          <cell r="DU44">
            <v>8.8000000000000005E-3</v>
          </cell>
          <cell r="DV44">
            <v>5.4000000000000003E-3</v>
          </cell>
          <cell r="DW44">
            <v>7.7999999999999996E-3</v>
          </cell>
          <cell r="DX44">
            <v>4.0000000000000001E-3</v>
          </cell>
          <cell r="DY44">
            <v>9.7000000000000003E-3</v>
          </cell>
          <cell r="DZ44">
            <v>6.0000000000000001E-3</v>
          </cell>
          <cell r="EA44">
            <v>7.3000000000000001E-3</v>
          </cell>
          <cell r="EB44">
            <v>4.4999999999999997E-3</v>
          </cell>
          <cell r="EC44">
            <v>6.4999999999999997E-3</v>
          </cell>
          <cell r="ED44">
            <v>3.3E-3</v>
          </cell>
          <cell r="EE44">
            <v>7.3000000000000001E-3</v>
          </cell>
          <cell r="EF44">
            <v>4.4999999999999997E-3</v>
          </cell>
          <cell r="EG44">
            <v>6.4999999999999997E-3</v>
          </cell>
          <cell r="EH44">
            <v>3.3E-3</v>
          </cell>
          <cell r="EI44">
            <v>1.83E-2</v>
          </cell>
          <cell r="EJ44">
            <v>1.4800000000000001E-2</v>
          </cell>
          <cell r="EK44">
            <v>1.61E-2</v>
          </cell>
          <cell r="EL44">
            <v>1.26E-2</v>
          </cell>
          <cell r="EM44">
            <v>1.0999999999999999E-2</v>
          </cell>
          <cell r="EN44">
            <v>7.5000000000000006E-3</v>
          </cell>
          <cell r="EO44">
            <v>9.6999999999999986E-3</v>
          </cell>
          <cell r="EP44">
            <v>6.2000000000000006E-3</v>
          </cell>
          <cell r="EQ44">
            <v>1.0999999999999999E-2</v>
          </cell>
          <cell r="ER44">
            <v>7.5000000000000006E-3</v>
          </cell>
          <cell r="ES44">
            <v>9.6999999999999986E-3</v>
          </cell>
          <cell r="ET44">
            <v>6.2000000000000006E-3</v>
          </cell>
          <cell r="EU44">
            <v>8.8000000000000005E-3</v>
          </cell>
          <cell r="EV44">
            <v>5.4000000000000003E-3</v>
          </cell>
          <cell r="EW44">
            <v>7.7999999999999996E-3</v>
          </cell>
          <cell r="EX44">
            <v>4.0000000000000001E-3</v>
          </cell>
          <cell r="EY44">
            <v>9.7000000000000003E-3</v>
          </cell>
          <cell r="EZ44">
            <v>6.0000000000000001E-3</v>
          </cell>
          <cell r="FA44">
            <v>7.3000000000000001E-3</v>
          </cell>
          <cell r="FB44">
            <v>4.4999999999999997E-3</v>
          </cell>
          <cell r="FC44">
            <v>6.4999999999999997E-3</v>
          </cell>
          <cell r="FD44">
            <v>3.3E-3</v>
          </cell>
          <cell r="FE44">
            <v>7.3000000000000001E-3</v>
          </cell>
          <cell r="FF44">
            <v>4.4999999999999997E-3</v>
          </cell>
          <cell r="FG44">
            <v>6.4999999999999997E-3</v>
          </cell>
          <cell r="FH44">
            <v>3.3E-3</v>
          </cell>
          <cell r="FI44">
            <v>2.76E-2</v>
          </cell>
          <cell r="FJ44">
            <v>2.4E-2</v>
          </cell>
          <cell r="FK44">
            <v>2.47E-2</v>
          </cell>
          <cell r="FL44">
            <v>2.1100000000000001E-2</v>
          </cell>
          <cell r="FM44">
            <v>2.76E-2</v>
          </cell>
          <cell r="FN44">
            <v>2.4E-2</v>
          </cell>
          <cell r="FO44">
            <v>2.47E-2</v>
          </cell>
          <cell r="FP44">
            <v>2.1100000000000001E-2</v>
          </cell>
          <cell r="FQ44">
            <v>1.11E-2</v>
          </cell>
          <cell r="FR44">
            <v>8.8000000000000005E-3</v>
          </cell>
          <cell r="FS44">
            <v>8.3999999999999995E-3</v>
          </cell>
          <cell r="FT44">
            <v>5.7999999999999996E-3</v>
          </cell>
          <cell r="FU44">
            <v>1.23E-2</v>
          </cell>
          <cell r="FV44">
            <v>9.1000000000000004E-3</v>
          </cell>
          <cell r="FW44">
            <v>9.7000000000000003E-3</v>
          </cell>
          <cell r="FX44">
            <v>7.6E-3</v>
          </cell>
          <cell r="FY44">
            <v>7.3000000000000001E-3</v>
          </cell>
          <cell r="FZ44">
            <v>5.0000000000000001E-3</v>
          </cell>
          <cell r="GA44">
            <v>9.7000000000000003E-3</v>
          </cell>
          <cell r="GB44">
            <v>7.6E-3</v>
          </cell>
          <cell r="GC44">
            <v>7.3000000000000001E-3</v>
          </cell>
          <cell r="GD44">
            <v>5.0000000000000001E-3</v>
          </cell>
          <cell r="GE44">
            <v>2.18E-2</v>
          </cell>
          <cell r="GF44">
            <v>1.9300000000000001E-2</v>
          </cell>
          <cell r="GG44">
            <v>1.9799999999999998E-2</v>
          </cell>
          <cell r="GH44">
            <v>1.6299999999999999E-2</v>
          </cell>
          <cell r="GI44">
            <v>2.18E-2</v>
          </cell>
          <cell r="GJ44">
            <v>1.9300000000000001E-2</v>
          </cell>
          <cell r="GK44">
            <v>1.9799999999999998E-2</v>
          </cell>
          <cell r="GL44">
            <v>1.6299999999999999E-2</v>
          </cell>
          <cell r="GM44">
            <v>1.11E-2</v>
          </cell>
          <cell r="GN44">
            <v>8.3999999999999995E-3</v>
          </cell>
          <cell r="GO44">
            <v>8.3999999999999995E-3</v>
          </cell>
          <cell r="GP44">
            <v>5.5999999999999999E-3</v>
          </cell>
          <cell r="GQ44">
            <v>1.23E-2</v>
          </cell>
          <cell r="GR44">
            <v>8.8000000000000005E-3</v>
          </cell>
          <cell r="GS44">
            <v>9.7000000000000003E-3</v>
          </cell>
          <cell r="GT44">
            <v>7.3000000000000001E-3</v>
          </cell>
          <cell r="GU44">
            <v>7.3000000000000001E-3</v>
          </cell>
          <cell r="GV44">
            <v>4.7999999999999996E-3</v>
          </cell>
          <cell r="GW44">
            <v>9.7000000000000003E-3</v>
          </cell>
          <cell r="GX44">
            <v>7.3000000000000001E-3</v>
          </cell>
          <cell r="GY44">
            <v>7.3000000000000001E-3</v>
          </cell>
          <cell r="GZ44">
            <v>4.7999999999999996E-3</v>
          </cell>
          <cell r="HA44">
            <v>2.18E-2</v>
          </cell>
          <cell r="HB44">
            <v>1.9300000000000001E-2</v>
          </cell>
          <cell r="HC44">
            <v>1.9799999999999998E-2</v>
          </cell>
          <cell r="HD44">
            <v>1.6299999999999999E-2</v>
          </cell>
          <cell r="HE44">
            <v>2.18E-2</v>
          </cell>
          <cell r="HF44">
            <v>1.9300000000000001E-2</v>
          </cell>
          <cell r="HG44">
            <v>1.9799999999999998E-2</v>
          </cell>
          <cell r="HH44">
            <v>1.6299999999999999E-2</v>
          </cell>
          <cell r="HI44">
            <v>1.11E-2</v>
          </cell>
          <cell r="HJ44">
            <v>8.2000000000000007E-3</v>
          </cell>
          <cell r="HK44">
            <v>8.3999999999999995E-3</v>
          </cell>
          <cell r="HL44">
            <v>5.4000000000000003E-3</v>
          </cell>
          <cell r="HM44">
            <v>1.23E-2</v>
          </cell>
          <cell r="HN44">
            <v>8.6E-3</v>
          </cell>
          <cell r="HO44">
            <v>9.7000000000000003E-3</v>
          </cell>
          <cell r="HP44">
            <v>7.1000000000000004E-3</v>
          </cell>
          <cell r="HQ44">
            <v>7.3000000000000001E-3</v>
          </cell>
          <cell r="HR44">
            <v>4.7000000000000002E-3</v>
          </cell>
          <cell r="HS44">
            <v>9.7000000000000003E-3</v>
          </cell>
          <cell r="HT44">
            <v>7.1000000000000004E-3</v>
          </cell>
          <cell r="HU44">
            <v>7.3000000000000001E-3</v>
          </cell>
          <cell r="HV44">
            <v>4.7000000000000002E-3</v>
          </cell>
          <cell r="HW44" t="str">
            <v>%PPL</v>
          </cell>
        </row>
        <row r="45">
          <cell r="AC45" t="str">
            <v>DPD-GPP 3.0 PPA DIS (Distributor) w DMA</v>
          </cell>
          <cell r="AD45" t="str">
            <v>Not Transferred</v>
          </cell>
          <cell r="AE45">
            <v>0</v>
          </cell>
          <cell r="AF45" t="str">
            <v>DPD-GPP 3.0 PPA DIS (Distributor) w DMA-Not Transferred</v>
          </cell>
          <cell r="AV45" t="str">
            <v xml:space="preserve">7750 SR-1/2/3e IOM </v>
          </cell>
          <cell r="AW45">
            <v>0.8</v>
          </cell>
          <cell r="AX45">
            <v>0.7</v>
          </cell>
          <cell r="AY45">
            <v>0.75</v>
          </cell>
          <cell r="AZ45">
            <v>0.75</v>
          </cell>
          <cell r="BA45">
            <v>0.71</v>
          </cell>
          <cell r="BB45">
            <v>0.75</v>
          </cell>
          <cell r="BC45">
            <v>0.75</v>
          </cell>
          <cell r="BD45">
            <v>0.71</v>
          </cell>
          <cell r="BE45">
            <v>0.75</v>
          </cell>
          <cell r="BF45">
            <v>0.75</v>
          </cell>
          <cell r="BG45">
            <v>0.75</v>
          </cell>
          <cell r="BH45">
            <v>0.75</v>
          </cell>
          <cell r="BI45">
            <v>0.77</v>
          </cell>
          <cell r="BJ45">
            <v>0.6</v>
          </cell>
          <cell r="BK45">
            <v>2.5000000000000001E-2</v>
          </cell>
          <cell r="BL45" t="str">
            <v>%PMP</v>
          </cell>
          <cell r="BM45">
            <v>1.4E-2</v>
          </cell>
          <cell r="BN45">
            <v>1.0500000000000001E-2</v>
          </cell>
          <cell r="BO45">
            <v>1.06E-2</v>
          </cell>
          <cell r="BP45">
            <v>7.1000000000000004E-3</v>
          </cell>
          <cell r="BQ45">
            <v>1.4E-2</v>
          </cell>
          <cell r="BR45">
            <v>1.0500000000000001E-2</v>
          </cell>
          <cell r="BS45">
            <v>1.06E-2</v>
          </cell>
          <cell r="BT45">
            <v>7.1000000000000004E-3</v>
          </cell>
          <cell r="BU45">
            <v>1.1200000000000002E-2</v>
          </cell>
          <cell r="BV45">
            <v>5.8800000000000007E-3</v>
          </cell>
          <cell r="BW45">
            <v>8.4799999999999997E-3</v>
          </cell>
          <cell r="BX45">
            <v>3.4080000000000004E-3</v>
          </cell>
          <cell r="BY45">
            <v>1.2320000000000003E-2</v>
          </cell>
          <cell r="BZ45">
            <v>6.9300000000000013E-3</v>
          </cell>
          <cell r="CA45">
            <v>8.9600000000000009E-3</v>
          </cell>
          <cell r="CB45">
            <v>4.7039999999999998E-3</v>
          </cell>
          <cell r="CC45">
            <v>6.7840000000000001E-3</v>
          </cell>
          <cell r="CD45">
            <v>2.7263999999999999E-3</v>
          </cell>
          <cell r="CE45">
            <v>8.9600000000000009E-3</v>
          </cell>
          <cell r="CF45">
            <v>4.7039999999999998E-3</v>
          </cell>
          <cell r="CG45">
            <v>6.7840000000000001E-3</v>
          </cell>
          <cell r="CH45">
            <v>2.7263999999999999E-3</v>
          </cell>
          <cell r="CI45">
            <v>1.3100000000000001E-2</v>
          </cell>
          <cell r="CJ45">
            <v>9.6000000000000009E-3</v>
          </cell>
          <cell r="CK45">
            <v>1.18E-2</v>
          </cell>
          <cell r="CL45">
            <v>8.3000000000000001E-3</v>
          </cell>
          <cell r="CM45">
            <v>1.3100000000000001E-2</v>
          </cell>
          <cell r="CN45">
            <v>9.6000000000000009E-3</v>
          </cell>
          <cell r="CO45">
            <v>1.18E-2</v>
          </cell>
          <cell r="CP45">
            <v>8.3000000000000001E-3</v>
          </cell>
          <cell r="CQ45">
            <v>1.0063256512499504E-2</v>
          </cell>
          <cell r="CR45">
            <v>4.9991661384674946E-3</v>
          </cell>
          <cell r="CS45">
            <v>8.6349233300802193E-3</v>
          </cell>
          <cell r="CT45">
            <v>3.46695417914499E-3</v>
          </cell>
          <cell r="CU45">
            <v>1.1069582163749456E-2</v>
          </cell>
          <cell r="CV45">
            <v>5.8918743774795477E-3</v>
          </cell>
          <cell r="CW45">
            <v>8.0506052099996034E-3</v>
          </cell>
          <cell r="CX45">
            <v>4.0447798756691553E-3</v>
          </cell>
          <cell r="CY45">
            <v>6.8819689698383707E-3</v>
          </cell>
          <cell r="CZ45">
            <v>2.7657724350482506E-3</v>
          </cell>
          <cell r="DA45">
            <v>8.0506052099996034E-3</v>
          </cell>
          <cell r="DB45">
            <v>4.0447798756691553E-3</v>
          </cell>
          <cell r="DC45">
            <v>6.8819689698383707E-3</v>
          </cell>
          <cell r="DD45">
            <v>2.7657724350482506E-3</v>
          </cell>
          <cell r="DE45">
            <v>1.0999999999999999E-2</v>
          </cell>
          <cell r="DF45">
            <v>7.4999999999999997E-3</v>
          </cell>
          <cell r="DG45">
            <v>9.7000000000000003E-3</v>
          </cell>
          <cell r="DH45">
            <v>6.1999999999999998E-3</v>
          </cell>
          <cell r="DI45">
            <v>1.83E-2</v>
          </cell>
          <cell r="DJ45">
            <v>1.4800000000000001E-2</v>
          </cell>
          <cell r="DK45">
            <v>1.61E-2</v>
          </cell>
          <cell r="DL45">
            <v>1.26E-2</v>
          </cell>
          <cell r="DM45">
            <v>1.0999999999999999E-2</v>
          </cell>
          <cell r="DN45">
            <v>7.5000000000000006E-3</v>
          </cell>
          <cell r="DO45">
            <v>9.6999999999999986E-3</v>
          </cell>
          <cell r="DP45">
            <v>6.2000000000000006E-3</v>
          </cell>
          <cell r="DQ45">
            <v>1.0999999999999999E-2</v>
          </cell>
          <cell r="DR45">
            <v>7.5000000000000006E-3</v>
          </cell>
          <cell r="DS45">
            <v>9.6999999999999986E-3</v>
          </cell>
          <cell r="DT45">
            <v>6.2000000000000006E-3</v>
          </cell>
          <cell r="DU45">
            <v>8.8000000000000005E-3</v>
          </cell>
          <cell r="DV45">
            <v>5.4000000000000003E-3</v>
          </cell>
          <cell r="DW45">
            <v>7.7999999999999996E-3</v>
          </cell>
          <cell r="DX45">
            <v>4.0000000000000001E-3</v>
          </cell>
          <cell r="DY45">
            <v>9.7000000000000003E-3</v>
          </cell>
          <cell r="DZ45">
            <v>6.0000000000000001E-3</v>
          </cell>
          <cell r="EA45">
            <v>7.3000000000000001E-3</v>
          </cell>
          <cell r="EB45">
            <v>4.4999999999999997E-3</v>
          </cell>
          <cell r="EC45">
            <v>6.4999999999999997E-3</v>
          </cell>
          <cell r="ED45">
            <v>3.3E-3</v>
          </cell>
          <cell r="EE45">
            <v>7.3000000000000001E-3</v>
          </cell>
          <cell r="EF45">
            <v>4.4999999999999997E-3</v>
          </cell>
          <cell r="EG45">
            <v>6.4999999999999997E-3</v>
          </cell>
          <cell r="EH45">
            <v>3.3E-3</v>
          </cell>
          <cell r="EI45">
            <v>1.83E-2</v>
          </cell>
          <cell r="EJ45">
            <v>1.4800000000000001E-2</v>
          </cell>
          <cell r="EK45">
            <v>1.61E-2</v>
          </cell>
          <cell r="EL45">
            <v>1.26E-2</v>
          </cell>
          <cell r="EM45">
            <v>1.0999999999999999E-2</v>
          </cell>
          <cell r="EN45">
            <v>7.5000000000000006E-3</v>
          </cell>
          <cell r="EO45">
            <v>9.6999999999999986E-3</v>
          </cell>
          <cell r="EP45">
            <v>6.2000000000000006E-3</v>
          </cell>
          <cell r="EQ45">
            <v>1.0999999999999999E-2</v>
          </cell>
          <cell r="ER45">
            <v>7.5000000000000006E-3</v>
          </cell>
          <cell r="ES45">
            <v>9.6999999999999986E-3</v>
          </cell>
          <cell r="ET45">
            <v>6.2000000000000006E-3</v>
          </cell>
          <cell r="EU45">
            <v>8.8000000000000005E-3</v>
          </cell>
          <cell r="EV45">
            <v>5.4000000000000003E-3</v>
          </cell>
          <cell r="EW45">
            <v>7.7999999999999996E-3</v>
          </cell>
          <cell r="EX45">
            <v>4.0000000000000001E-3</v>
          </cell>
          <cell r="EY45">
            <v>9.7000000000000003E-3</v>
          </cell>
          <cell r="EZ45">
            <v>6.0000000000000001E-3</v>
          </cell>
          <cell r="FA45">
            <v>7.3000000000000001E-3</v>
          </cell>
          <cell r="FB45">
            <v>4.4999999999999997E-3</v>
          </cell>
          <cell r="FC45">
            <v>6.4999999999999997E-3</v>
          </cell>
          <cell r="FD45">
            <v>3.3E-3</v>
          </cell>
          <cell r="FE45">
            <v>7.3000000000000001E-3</v>
          </cell>
          <cell r="FF45">
            <v>4.4999999999999997E-3</v>
          </cell>
          <cell r="FG45">
            <v>6.4999999999999997E-3</v>
          </cell>
          <cell r="FH45">
            <v>3.3E-3</v>
          </cell>
          <cell r="FI45">
            <v>2.76E-2</v>
          </cell>
          <cell r="FJ45">
            <v>2.4E-2</v>
          </cell>
          <cell r="FK45">
            <v>2.47E-2</v>
          </cell>
          <cell r="FL45">
            <v>2.1100000000000001E-2</v>
          </cell>
          <cell r="FM45">
            <v>2.76E-2</v>
          </cell>
          <cell r="FN45">
            <v>2.4E-2</v>
          </cell>
          <cell r="FO45">
            <v>2.47E-2</v>
          </cell>
          <cell r="FP45">
            <v>2.1100000000000001E-2</v>
          </cell>
          <cell r="FQ45">
            <v>1.11E-2</v>
          </cell>
          <cell r="FR45">
            <v>8.8000000000000005E-3</v>
          </cell>
          <cell r="FS45">
            <v>8.3999999999999995E-3</v>
          </cell>
          <cell r="FT45">
            <v>5.7999999999999996E-3</v>
          </cell>
          <cell r="FU45">
            <v>1.23E-2</v>
          </cell>
          <cell r="FV45">
            <v>9.1000000000000004E-3</v>
          </cell>
          <cell r="FW45">
            <v>9.7000000000000003E-3</v>
          </cell>
          <cell r="FX45">
            <v>7.6E-3</v>
          </cell>
          <cell r="FY45">
            <v>7.3000000000000001E-3</v>
          </cell>
          <cell r="FZ45">
            <v>5.0000000000000001E-3</v>
          </cell>
          <cell r="GA45">
            <v>9.7000000000000003E-3</v>
          </cell>
          <cell r="GB45">
            <v>7.6E-3</v>
          </cell>
          <cell r="GC45">
            <v>7.3000000000000001E-3</v>
          </cell>
          <cell r="GD45">
            <v>5.0000000000000001E-3</v>
          </cell>
          <cell r="GE45">
            <v>2.18E-2</v>
          </cell>
          <cell r="GF45">
            <v>1.9300000000000001E-2</v>
          </cell>
          <cell r="GG45">
            <v>1.9799999999999998E-2</v>
          </cell>
          <cell r="GH45">
            <v>1.6299999999999999E-2</v>
          </cell>
          <cell r="GI45">
            <v>2.18E-2</v>
          </cell>
          <cell r="GJ45">
            <v>1.9300000000000001E-2</v>
          </cell>
          <cell r="GK45">
            <v>1.9799999999999998E-2</v>
          </cell>
          <cell r="GL45">
            <v>1.6299999999999999E-2</v>
          </cell>
          <cell r="GM45">
            <v>1.11E-2</v>
          </cell>
          <cell r="GN45">
            <v>8.3999999999999995E-3</v>
          </cell>
          <cell r="GO45">
            <v>8.3999999999999995E-3</v>
          </cell>
          <cell r="GP45">
            <v>5.5999999999999999E-3</v>
          </cell>
          <cell r="GQ45">
            <v>1.23E-2</v>
          </cell>
          <cell r="GR45">
            <v>8.8000000000000005E-3</v>
          </cell>
          <cell r="GS45">
            <v>9.7000000000000003E-3</v>
          </cell>
          <cell r="GT45">
            <v>7.3000000000000001E-3</v>
          </cell>
          <cell r="GU45">
            <v>7.3000000000000001E-3</v>
          </cell>
          <cell r="GV45">
            <v>4.7999999999999996E-3</v>
          </cell>
          <cell r="GW45">
            <v>9.7000000000000003E-3</v>
          </cell>
          <cell r="GX45">
            <v>7.3000000000000001E-3</v>
          </cell>
          <cell r="GY45">
            <v>7.3000000000000001E-3</v>
          </cell>
          <cell r="GZ45">
            <v>4.7999999999999996E-3</v>
          </cell>
          <cell r="HA45">
            <v>2.18E-2</v>
          </cell>
          <cell r="HB45">
            <v>1.9300000000000001E-2</v>
          </cell>
          <cell r="HC45">
            <v>1.9799999999999998E-2</v>
          </cell>
          <cell r="HD45">
            <v>1.6299999999999999E-2</v>
          </cell>
          <cell r="HE45">
            <v>2.18E-2</v>
          </cell>
          <cell r="HF45">
            <v>1.9300000000000001E-2</v>
          </cell>
          <cell r="HG45">
            <v>1.9799999999999998E-2</v>
          </cell>
          <cell r="HH45">
            <v>1.6299999999999999E-2</v>
          </cell>
          <cell r="HI45">
            <v>1.11E-2</v>
          </cell>
          <cell r="HJ45">
            <v>8.2000000000000007E-3</v>
          </cell>
          <cell r="HK45">
            <v>8.3999999999999995E-3</v>
          </cell>
          <cell r="HL45">
            <v>5.4000000000000003E-3</v>
          </cell>
          <cell r="HM45">
            <v>1.23E-2</v>
          </cell>
          <cell r="HN45">
            <v>8.6E-3</v>
          </cell>
          <cell r="HO45">
            <v>9.7000000000000003E-3</v>
          </cell>
          <cell r="HP45">
            <v>7.1000000000000004E-3</v>
          </cell>
          <cell r="HQ45">
            <v>7.3000000000000001E-3</v>
          </cell>
          <cell r="HR45">
            <v>4.7000000000000002E-3</v>
          </cell>
          <cell r="HS45">
            <v>9.7000000000000003E-3</v>
          </cell>
          <cell r="HT45">
            <v>7.1000000000000004E-3</v>
          </cell>
          <cell r="HU45">
            <v>7.3000000000000001E-3</v>
          </cell>
          <cell r="HV45">
            <v>4.7000000000000002E-3</v>
          </cell>
          <cell r="HW45" t="str">
            <v>%PPL</v>
          </cell>
        </row>
        <row r="46">
          <cell r="AC46" t="str">
            <v>DPD-GPP 3.0 PPA DIS (Distributor) w DMA</v>
          </cell>
          <cell r="AD46" t="str">
            <v>Transferred</v>
          </cell>
          <cell r="AE46">
            <v>0.02</v>
          </cell>
          <cell r="AF46" t="str">
            <v>DPD-GPP 3.0 PPA DIS (Distributor) w DMA-Transferred</v>
          </cell>
          <cell r="AV46" t="str">
            <v>7750 SR-7 /SR-12 /SR-12e Common Equipment</v>
          </cell>
          <cell r="AW46">
            <v>0.8</v>
          </cell>
          <cell r="AX46">
            <v>0.7</v>
          </cell>
          <cell r="AY46">
            <v>0.75</v>
          </cell>
          <cell r="AZ46">
            <v>0.75</v>
          </cell>
          <cell r="BA46">
            <v>0.71299999999999997</v>
          </cell>
          <cell r="BB46">
            <v>0.75</v>
          </cell>
          <cell r="BC46">
            <v>0.75</v>
          </cell>
          <cell r="BD46">
            <v>0.71299999999999997</v>
          </cell>
          <cell r="BE46">
            <v>0.75</v>
          </cell>
          <cell r="BF46">
            <v>0.75</v>
          </cell>
          <cell r="BG46">
            <v>0.7</v>
          </cell>
          <cell r="BH46">
            <v>0.75</v>
          </cell>
          <cell r="BI46">
            <v>0.77</v>
          </cell>
          <cell r="BJ46">
            <v>0.6</v>
          </cell>
          <cell r="BK46">
            <v>2.5000000000000001E-2</v>
          </cell>
          <cell r="BL46" t="str">
            <v>%PMP</v>
          </cell>
          <cell r="BM46">
            <v>1.4E-2</v>
          </cell>
          <cell r="BN46">
            <v>1.0500000000000001E-2</v>
          </cell>
          <cell r="BO46">
            <v>1.06E-2</v>
          </cell>
          <cell r="BP46">
            <v>7.1000000000000004E-3</v>
          </cell>
          <cell r="BQ46">
            <v>1.4E-2</v>
          </cell>
          <cell r="BR46">
            <v>1.0500000000000001E-2</v>
          </cell>
          <cell r="BS46">
            <v>1.06E-2</v>
          </cell>
          <cell r="BT46">
            <v>7.1000000000000004E-3</v>
          </cell>
          <cell r="BU46">
            <v>1.1200000000000002E-2</v>
          </cell>
          <cell r="BV46">
            <v>5.8800000000000007E-3</v>
          </cell>
          <cell r="BW46">
            <v>8.4799999999999997E-3</v>
          </cell>
          <cell r="BX46">
            <v>3.4080000000000004E-3</v>
          </cell>
          <cell r="BY46">
            <v>1.2320000000000003E-2</v>
          </cell>
          <cell r="BZ46">
            <v>6.9300000000000013E-3</v>
          </cell>
          <cell r="CA46">
            <v>8.9600000000000009E-3</v>
          </cell>
          <cell r="CB46">
            <v>4.7039999999999998E-3</v>
          </cell>
          <cell r="CC46">
            <v>6.7840000000000001E-3</v>
          </cell>
          <cell r="CD46">
            <v>2.7263999999999999E-3</v>
          </cell>
          <cell r="CE46">
            <v>8.9600000000000009E-3</v>
          </cell>
          <cell r="CF46">
            <v>4.7039999999999998E-3</v>
          </cell>
          <cell r="CG46">
            <v>6.7840000000000001E-3</v>
          </cell>
          <cell r="CH46">
            <v>2.7263999999999999E-3</v>
          </cell>
          <cell r="CI46">
            <v>1.3100000000000001E-2</v>
          </cell>
          <cell r="CJ46">
            <v>9.6000000000000009E-3</v>
          </cell>
          <cell r="CK46">
            <v>1.18E-2</v>
          </cell>
          <cell r="CL46">
            <v>8.3000000000000001E-3</v>
          </cell>
          <cell r="CM46">
            <v>1.3100000000000001E-2</v>
          </cell>
          <cell r="CN46">
            <v>9.6000000000000009E-3</v>
          </cell>
          <cell r="CO46">
            <v>1.18E-2</v>
          </cell>
          <cell r="CP46">
            <v>8.3000000000000001E-3</v>
          </cell>
          <cell r="CQ46">
            <v>1.0063256512499504E-2</v>
          </cell>
          <cell r="CR46">
            <v>4.9991661384674946E-3</v>
          </cell>
          <cell r="CS46">
            <v>8.6349233300802193E-3</v>
          </cell>
          <cell r="CT46">
            <v>3.46695417914499E-3</v>
          </cell>
          <cell r="CU46">
            <v>1.1069582163749456E-2</v>
          </cell>
          <cell r="CV46">
            <v>5.8918743774795477E-3</v>
          </cell>
          <cell r="CW46">
            <v>8.0506052099996034E-3</v>
          </cell>
          <cell r="CX46">
            <v>4.0447798756691553E-3</v>
          </cell>
          <cell r="CY46">
            <v>6.8819689698383707E-3</v>
          </cell>
          <cell r="CZ46">
            <v>2.7657724350482506E-3</v>
          </cell>
          <cell r="DA46">
            <v>8.0506052099996034E-3</v>
          </cell>
          <cell r="DB46">
            <v>4.0447798756691553E-3</v>
          </cell>
          <cell r="DC46">
            <v>6.8819689698383707E-3</v>
          </cell>
          <cell r="DD46">
            <v>2.7657724350482506E-3</v>
          </cell>
          <cell r="DE46">
            <v>1.0999999999999999E-2</v>
          </cell>
          <cell r="DF46">
            <v>7.4999999999999997E-3</v>
          </cell>
          <cell r="DG46">
            <v>9.7000000000000003E-3</v>
          </cell>
          <cell r="DH46">
            <v>6.1999999999999998E-3</v>
          </cell>
          <cell r="DI46">
            <v>1.83E-2</v>
          </cell>
          <cell r="DJ46">
            <v>1.4800000000000001E-2</v>
          </cell>
          <cell r="DK46">
            <v>1.61E-2</v>
          </cell>
          <cell r="DL46">
            <v>1.26E-2</v>
          </cell>
          <cell r="DM46">
            <v>1.0999999999999999E-2</v>
          </cell>
          <cell r="DN46">
            <v>7.5000000000000006E-3</v>
          </cell>
          <cell r="DO46">
            <v>9.6999999999999986E-3</v>
          </cell>
          <cell r="DP46">
            <v>6.2000000000000006E-3</v>
          </cell>
          <cell r="DQ46">
            <v>1.0999999999999999E-2</v>
          </cell>
          <cell r="DR46">
            <v>7.5000000000000006E-3</v>
          </cell>
          <cell r="DS46">
            <v>9.6999999999999986E-3</v>
          </cell>
          <cell r="DT46">
            <v>6.2000000000000006E-3</v>
          </cell>
          <cell r="DU46">
            <v>8.8000000000000005E-3</v>
          </cell>
          <cell r="DV46">
            <v>5.4000000000000003E-3</v>
          </cell>
          <cell r="DW46">
            <v>7.7999999999999996E-3</v>
          </cell>
          <cell r="DX46">
            <v>4.0000000000000001E-3</v>
          </cell>
          <cell r="DY46">
            <v>9.7000000000000003E-3</v>
          </cell>
          <cell r="DZ46">
            <v>6.0000000000000001E-3</v>
          </cell>
          <cell r="EA46">
            <v>7.3000000000000001E-3</v>
          </cell>
          <cell r="EB46">
            <v>4.4999999999999997E-3</v>
          </cell>
          <cell r="EC46">
            <v>6.4999999999999997E-3</v>
          </cell>
          <cell r="ED46">
            <v>3.3E-3</v>
          </cell>
          <cell r="EE46">
            <v>7.3000000000000001E-3</v>
          </cell>
          <cell r="EF46">
            <v>4.4999999999999997E-3</v>
          </cell>
          <cell r="EG46">
            <v>6.4999999999999997E-3</v>
          </cell>
          <cell r="EH46">
            <v>3.3E-3</v>
          </cell>
          <cell r="EI46">
            <v>1.83E-2</v>
          </cell>
          <cell r="EJ46">
            <v>1.4800000000000001E-2</v>
          </cell>
          <cell r="EK46">
            <v>1.61E-2</v>
          </cell>
          <cell r="EL46">
            <v>1.26E-2</v>
          </cell>
          <cell r="EM46">
            <v>1.0999999999999999E-2</v>
          </cell>
          <cell r="EN46">
            <v>7.5000000000000006E-3</v>
          </cell>
          <cell r="EO46">
            <v>9.6999999999999986E-3</v>
          </cell>
          <cell r="EP46">
            <v>6.2000000000000006E-3</v>
          </cell>
          <cell r="EQ46">
            <v>1.0999999999999999E-2</v>
          </cell>
          <cell r="ER46">
            <v>7.5000000000000006E-3</v>
          </cell>
          <cell r="ES46">
            <v>9.6999999999999986E-3</v>
          </cell>
          <cell r="ET46">
            <v>6.2000000000000006E-3</v>
          </cell>
          <cell r="EU46">
            <v>8.8000000000000005E-3</v>
          </cell>
          <cell r="EV46">
            <v>5.4000000000000003E-3</v>
          </cell>
          <cell r="EW46">
            <v>7.7999999999999996E-3</v>
          </cell>
          <cell r="EX46">
            <v>4.0000000000000001E-3</v>
          </cell>
          <cell r="EY46">
            <v>9.7000000000000003E-3</v>
          </cell>
          <cell r="EZ46">
            <v>6.0000000000000001E-3</v>
          </cell>
          <cell r="FA46">
            <v>7.3000000000000001E-3</v>
          </cell>
          <cell r="FB46">
            <v>4.4999999999999997E-3</v>
          </cell>
          <cell r="FC46">
            <v>6.4999999999999997E-3</v>
          </cell>
          <cell r="FD46">
            <v>3.3E-3</v>
          </cell>
          <cell r="FE46">
            <v>7.3000000000000001E-3</v>
          </cell>
          <cell r="FF46">
            <v>4.4999999999999997E-3</v>
          </cell>
          <cell r="FG46">
            <v>6.4999999999999997E-3</v>
          </cell>
          <cell r="FH46">
            <v>3.3E-3</v>
          </cell>
          <cell r="FI46">
            <v>2.76E-2</v>
          </cell>
          <cell r="FJ46">
            <v>2.4E-2</v>
          </cell>
          <cell r="FK46">
            <v>2.47E-2</v>
          </cell>
          <cell r="FL46">
            <v>2.1100000000000001E-2</v>
          </cell>
          <cell r="FM46">
            <v>2.76E-2</v>
          </cell>
          <cell r="FN46">
            <v>2.4E-2</v>
          </cell>
          <cell r="FO46">
            <v>2.47E-2</v>
          </cell>
          <cell r="FP46">
            <v>2.1100000000000001E-2</v>
          </cell>
          <cell r="FQ46">
            <v>1.11E-2</v>
          </cell>
          <cell r="FR46">
            <v>8.8000000000000005E-3</v>
          </cell>
          <cell r="FS46">
            <v>8.3999999999999995E-3</v>
          </cell>
          <cell r="FT46">
            <v>5.7999999999999996E-3</v>
          </cell>
          <cell r="FU46">
            <v>1.23E-2</v>
          </cell>
          <cell r="FV46">
            <v>9.1000000000000004E-3</v>
          </cell>
          <cell r="FW46">
            <v>9.7000000000000003E-3</v>
          </cell>
          <cell r="FX46">
            <v>7.6E-3</v>
          </cell>
          <cell r="FY46">
            <v>7.3000000000000001E-3</v>
          </cell>
          <cell r="FZ46">
            <v>5.0000000000000001E-3</v>
          </cell>
          <cell r="GA46">
            <v>9.7000000000000003E-3</v>
          </cell>
          <cell r="GB46">
            <v>7.6E-3</v>
          </cell>
          <cell r="GC46">
            <v>7.3000000000000001E-3</v>
          </cell>
          <cell r="GD46">
            <v>5.0000000000000001E-3</v>
          </cell>
          <cell r="GE46">
            <v>2.18E-2</v>
          </cell>
          <cell r="GF46">
            <v>1.9300000000000001E-2</v>
          </cell>
          <cell r="GG46">
            <v>1.9799999999999998E-2</v>
          </cell>
          <cell r="GH46">
            <v>1.6299999999999999E-2</v>
          </cell>
          <cell r="GI46">
            <v>2.18E-2</v>
          </cell>
          <cell r="GJ46">
            <v>1.9300000000000001E-2</v>
          </cell>
          <cell r="GK46">
            <v>1.9799999999999998E-2</v>
          </cell>
          <cell r="GL46">
            <v>1.6299999999999999E-2</v>
          </cell>
          <cell r="GM46">
            <v>1.11E-2</v>
          </cell>
          <cell r="GN46">
            <v>8.3999999999999995E-3</v>
          </cell>
          <cell r="GO46">
            <v>8.3999999999999995E-3</v>
          </cell>
          <cell r="GP46">
            <v>5.5999999999999999E-3</v>
          </cell>
          <cell r="GQ46">
            <v>1.23E-2</v>
          </cell>
          <cell r="GR46">
            <v>8.8000000000000005E-3</v>
          </cell>
          <cell r="GS46">
            <v>9.7000000000000003E-3</v>
          </cell>
          <cell r="GT46">
            <v>7.3000000000000001E-3</v>
          </cell>
          <cell r="GU46">
            <v>7.3000000000000001E-3</v>
          </cell>
          <cell r="GV46">
            <v>4.7999999999999996E-3</v>
          </cell>
          <cell r="GW46">
            <v>9.7000000000000003E-3</v>
          </cell>
          <cell r="GX46">
            <v>7.3000000000000001E-3</v>
          </cell>
          <cell r="GY46">
            <v>7.3000000000000001E-3</v>
          </cell>
          <cell r="GZ46">
            <v>4.7999999999999996E-3</v>
          </cell>
          <cell r="HA46">
            <v>2.18E-2</v>
          </cell>
          <cell r="HB46">
            <v>1.9300000000000001E-2</v>
          </cell>
          <cell r="HC46">
            <v>1.9799999999999998E-2</v>
          </cell>
          <cell r="HD46">
            <v>1.6299999999999999E-2</v>
          </cell>
          <cell r="HE46">
            <v>2.18E-2</v>
          </cell>
          <cell r="HF46">
            <v>1.9300000000000001E-2</v>
          </cell>
          <cell r="HG46">
            <v>1.9799999999999998E-2</v>
          </cell>
          <cell r="HH46">
            <v>1.6299999999999999E-2</v>
          </cell>
          <cell r="HI46">
            <v>1.11E-2</v>
          </cell>
          <cell r="HJ46">
            <v>8.2000000000000007E-3</v>
          </cell>
          <cell r="HK46">
            <v>8.3999999999999995E-3</v>
          </cell>
          <cell r="HL46">
            <v>5.4000000000000003E-3</v>
          </cell>
          <cell r="HM46">
            <v>1.23E-2</v>
          </cell>
          <cell r="HN46">
            <v>8.6E-3</v>
          </cell>
          <cell r="HO46">
            <v>9.7000000000000003E-3</v>
          </cell>
          <cell r="HP46">
            <v>7.1000000000000004E-3</v>
          </cell>
          <cell r="HQ46">
            <v>7.3000000000000001E-3</v>
          </cell>
          <cell r="HR46">
            <v>4.7000000000000002E-3</v>
          </cell>
          <cell r="HS46">
            <v>9.7000000000000003E-3</v>
          </cell>
          <cell r="HT46">
            <v>7.1000000000000004E-3</v>
          </cell>
          <cell r="HU46">
            <v>7.3000000000000001E-3</v>
          </cell>
          <cell r="HV46">
            <v>4.7000000000000002E-3</v>
          </cell>
          <cell r="HW46" t="str">
            <v>%PPL</v>
          </cell>
        </row>
        <row r="47">
          <cell r="AC47" t="str">
            <v>DPD-GPP 3.0 PPA RES (Reseller)</v>
          </cell>
          <cell r="AD47" t="str">
            <v>Not Applicable</v>
          </cell>
          <cell r="AE47">
            <v>0</v>
          </cell>
          <cell r="AF47" t="str">
            <v>DPD-GPP 3.0 PPA RES (Reseller)-Not Applicable</v>
          </cell>
          <cell r="AV47" t="str">
            <v>7750 SR-a Chassis/ CPM</v>
          </cell>
          <cell r="AW47">
            <v>0.73</v>
          </cell>
          <cell r="AX47">
            <v>0.65</v>
          </cell>
          <cell r="AY47">
            <v>0.65</v>
          </cell>
          <cell r="AZ47">
            <v>0.68</v>
          </cell>
          <cell r="BA47">
            <v>0.6</v>
          </cell>
          <cell r="BB47">
            <v>0.65</v>
          </cell>
          <cell r="BC47">
            <v>0.68</v>
          </cell>
          <cell r="BD47">
            <v>0.6</v>
          </cell>
          <cell r="BE47">
            <v>0.65</v>
          </cell>
          <cell r="BF47">
            <v>0.6</v>
          </cell>
          <cell r="BG47">
            <v>0.6</v>
          </cell>
          <cell r="BH47">
            <v>0.65</v>
          </cell>
          <cell r="BI47">
            <v>0.7</v>
          </cell>
          <cell r="BJ47">
            <v>0.6</v>
          </cell>
          <cell r="BK47">
            <v>2.5000000000000001E-2</v>
          </cell>
          <cell r="BL47" t="str">
            <v>%PMP</v>
          </cell>
          <cell r="BM47">
            <v>1.83E-2</v>
          </cell>
          <cell r="BN47">
            <v>1.4800000000000001E-2</v>
          </cell>
          <cell r="BO47">
            <v>1.5299999999999999E-2</v>
          </cell>
          <cell r="BP47">
            <v>1.18E-2</v>
          </cell>
          <cell r="BQ47">
            <v>1.83E-2</v>
          </cell>
          <cell r="BR47">
            <v>1.4800000000000001E-2</v>
          </cell>
          <cell r="BS47">
            <v>1.5299999999999999E-2</v>
          </cell>
          <cell r="BT47">
            <v>1.18E-2</v>
          </cell>
          <cell r="BU47">
            <v>1.34E-2</v>
          </cell>
          <cell r="BV47">
            <v>7.0000000000000001E-3</v>
          </cell>
          <cell r="BW47">
            <v>1.0149999999999999E-2</v>
          </cell>
          <cell r="BX47">
            <v>4.0800000000000003E-3</v>
          </cell>
          <cell r="BY47">
            <v>1.4749999999999999E-2</v>
          </cell>
          <cell r="BZ47">
            <v>8.3000000000000001E-3</v>
          </cell>
          <cell r="CA47">
            <v>1.12E-2</v>
          </cell>
          <cell r="CB47">
            <v>5.8799999999999998E-3</v>
          </cell>
          <cell r="CC47">
            <v>8.4799999999999997E-3</v>
          </cell>
          <cell r="CD47">
            <v>3.4099999999999998E-3</v>
          </cell>
          <cell r="CE47">
            <v>1.12E-2</v>
          </cell>
          <cell r="CF47">
            <v>5.8799999999999998E-3</v>
          </cell>
          <cell r="CG47">
            <v>8.4799999999999997E-3</v>
          </cell>
          <cell r="CH47">
            <v>3.4099999999999998E-3</v>
          </cell>
          <cell r="CI47">
            <v>2.3900000000000001E-2</v>
          </cell>
          <cell r="CJ47">
            <v>2.0399999999999998E-2</v>
          </cell>
          <cell r="CK47">
            <v>2.1700000000000001E-2</v>
          </cell>
          <cell r="CL47">
            <v>1.8200000000000001E-2</v>
          </cell>
          <cell r="CM47">
            <v>2.3900000000000001E-2</v>
          </cell>
          <cell r="CN47">
            <v>2.0399999999999998E-2</v>
          </cell>
          <cell r="CO47">
            <v>2.1700000000000001E-2</v>
          </cell>
          <cell r="CP47">
            <v>1.8200000000000001E-2</v>
          </cell>
          <cell r="CQ47">
            <v>1.0105019968878269E-2</v>
          </cell>
          <cell r="CR47">
            <v>5.0199131458298482E-3</v>
          </cell>
          <cell r="CS47">
            <v>8.67075907006974E-3</v>
          </cell>
          <cell r="CT47">
            <v>3.4813423634716088E-3</v>
          </cell>
          <cell r="CU47">
            <v>1.1115521965766097E-2</v>
          </cell>
          <cell r="CV47">
            <v>5.9163262075851777E-3</v>
          </cell>
          <cell r="CW47">
            <v>9.2186147084503504E-3</v>
          </cell>
          <cell r="CX47">
            <v>4.6316104543262654E-3</v>
          </cell>
          <cell r="CY47">
            <v>7.8804287023849767E-3</v>
          </cell>
          <cell r="CZ47">
            <v>3.1670402143547179E-3</v>
          </cell>
          <cell r="DA47">
            <v>9.2186147084503504E-3</v>
          </cell>
          <cell r="DB47">
            <v>4.6316104543262654E-3</v>
          </cell>
          <cell r="DC47">
            <v>7.8804287023849767E-3</v>
          </cell>
          <cell r="DD47">
            <v>3.1670402143547179E-3</v>
          </cell>
          <cell r="DE47">
            <v>1.38E-2</v>
          </cell>
          <cell r="DF47">
            <v>1.03E-2</v>
          </cell>
          <cell r="DG47">
            <v>1.21E-2</v>
          </cell>
          <cell r="DH47">
            <v>8.6E-3</v>
          </cell>
          <cell r="DI47">
            <v>2.4400000000000002E-2</v>
          </cell>
          <cell r="DJ47">
            <v>2.0899999999999998E-2</v>
          </cell>
          <cell r="DK47">
            <v>2.1499999999999998E-2</v>
          </cell>
          <cell r="DL47">
            <v>1.7999999999999999E-2</v>
          </cell>
          <cell r="DM47">
            <v>1.38E-2</v>
          </cell>
          <cell r="DN47">
            <v>1.03E-2</v>
          </cell>
          <cell r="DO47">
            <v>1.21E-2</v>
          </cell>
          <cell r="DP47">
            <v>8.6E-3</v>
          </cell>
          <cell r="DQ47">
            <v>1.38E-2</v>
          </cell>
          <cell r="DR47">
            <v>1.03E-2</v>
          </cell>
          <cell r="DS47">
            <v>1.21E-2</v>
          </cell>
          <cell r="DT47">
            <v>8.6E-3</v>
          </cell>
          <cell r="DU47">
            <v>1.0070000000000001E-2</v>
          </cell>
          <cell r="DV47">
            <v>6.77E-3</v>
          </cell>
          <cell r="DW47">
            <v>8.8800000000000007E-3</v>
          </cell>
          <cell r="DX47">
            <v>5.5799999999999999E-3</v>
          </cell>
          <cell r="DY47">
            <v>1.108E-2</v>
          </cell>
          <cell r="DZ47">
            <v>8.2400000000000008E-3</v>
          </cell>
          <cell r="EA47">
            <v>8.4200000000000004E-3</v>
          </cell>
          <cell r="EB47">
            <v>5.6699999999999997E-3</v>
          </cell>
          <cell r="EC47">
            <v>7.4099999999999999E-3</v>
          </cell>
          <cell r="ED47">
            <v>4.6699999999999997E-3</v>
          </cell>
          <cell r="EE47">
            <v>8.4200000000000004E-3</v>
          </cell>
          <cell r="EF47">
            <v>5.6699999999999997E-3</v>
          </cell>
          <cell r="EG47">
            <v>7.4099999999999999E-3</v>
          </cell>
          <cell r="EH47">
            <v>4.6699999999999997E-3</v>
          </cell>
          <cell r="EI47">
            <v>2.4400000000000002E-2</v>
          </cell>
          <cell r="EJ47">
            <v>2.0899999999999998E-2</v>
          </cell>
          <cell r="EK47">
            <v>2.1499999999999998E-2</v>
          </cell>
          <cell r="EL47">
            <v>1.7999999999999999E-2</v>
          </cell>
          <cell r="EM47">
            <v>1.38E-2</v>
          </cell>
          <cell r="EN47">
            <v>1.03E-2</v>
          </cell>
          <cell r="EO47">
            <v>1.21E-2</v>
          </cell>
          <cell r="EP47">
            <v>8.6E-3</v>
          </cell>
          <cell r="EQ47">
            <v>1.38E-2</v>
          </cell>
          <cell r="ER47">
            <v>1.03E-2</v>
          </cell>
          <cell r="ES47">
            <v>1.21E-2</v>
          </cell>
          <cell r="ET47">
            <v>8.6E-3</v>
          </cell>
          <cell r="EU47">
            <v>1.0070000000000001E-2</v>
          </cell>
          <cell r="EV47">
            <v>6.77E-3</v>
          </cell>
          <cell r="EW47">
            <v>8.8800000000000007E-3</v>
          </cell>
          <cell r="EX47">
            <v>5.5799999999999999E-3</v>
          </cell>
          <cell r="EY47">
            <v>1.108E-2</v>
          </cell>
          <cell r="EZ47">
            <v>8.2400000000000008E-3</v>
          </cell>
          <cell r="FA47">
            <v>8.4200000000000004E-3</v>
          </cell>
          <cell r="FB47">
            <v>5.6699999999999997E-3</v>
          </cell>
          <cell r="FC47">
            <v>7.4099999999999999E-3</v>
          </cell>
          <cell r="FD47">
            <v>4.6699999999999997E-3</v>
          </cell>
          <cell r="FE47">
            <v>8.4200000000000004E-3</v>
          </cell>
          <cell r="FF47">
            <v>5.6699999999999997E-3</v>
          </cell>
          <cell r="FG47">
            <v>7.4099999999999999E-3</v>
          </cell>
          <cell r="FH47">
            <v>4.6699999999999997E-3</v>
          </cell>
          <cell r="FI47">
            <v>2.76E-2</v>
          </cell>
          <cell r="FJ47">
            <v>2.4E-2</v>
          </cell>
          <cell r="FK47">
            <v>2.47E-2</v>
          </cell>
          <cell r="FL47">
            <v>2.1100000000000001E-2</v>
          </cell>
          <cell r="FM47">
            <v>2.76E-2</v>
          </cell>
          <cell r="FN47">
            <v>2.4E-2</v>
          </cell>
          <cell r="FO47">
            <v>2.47E-2</v>
          </cell>
          <cell r="FP47">
            <v>2.1100000000000001E-2</v>
          </cell>
          <cell r="FQ47">
            <v>2.5600000000000001E-2</v>
          </cell>
          <cell r="FR47">
            <v>2.0109999999999999E-2</v>
          </cell>
          <cell r="FS47">
            <v>1.9429999999999999E-2</v>
          </cell>
          <cell r="FT47">
            <v>1.3259999999999999E-2</v>
          </cell>
          <cell r="FU47">
            <v>2.8119999999999999E-2</v>
          </cell>
          <cell r="FV47">
            <v>2.0799999999999999E-2</v>
          </cell>
          <cell r="FW47">
            <v>2.2169999999999999E-2</v>
          </cell>
          <cell r="FX47">
            <v>1.737E-2</v>
          </cell>
          <cell r="FY47">
            <v>1.668E-2</v>
          </cell>
          <cell r="FZ47">
            <v>1.142E-2</v>
          </cell>
          <cell r="GA47">
            <v>2.2169999999999999E-2</v>
          </cell>
          <cell r="GB47">
            <v>1.737E-2</v>
          </cell>
          <cell r="GC47">
            <v>1.668E-2</v>
          </cell>
          <cell r="GD47">
            <v>1.142E-2</v>
          </cell>
          <cell r="GE47">
            <v>2.18E-2</v>
          </cell>
          <cell r="GF47">
            <v>1.9300000000000001E-2</v>
          </cell>
          <cell r="GG47">
            <v>1.9799999999999998E-2</v>
          </cell>
          <cell r="GH47">
            <v>1.6299999999999999E-2</v>
          </cell>
          <cell r="GI47">
            <v>2.18E-2</v>
          </cell>
          <cell r="GJ47">
            <v>1.9300000000000001E-2</v>
          </cell>
          <cell r="GK47">
            <v>1.9799999999999998E-2</v>
          </cell>
          <cell r="GL47">
            <v>1.6299999999999999E-2</v>
          </cell>
          <cell r="GM47">
            <v>2.5600000000000001E-2</v>
          </cell>
          <cell r="GN47">
            <v>2.0109999999999999E-2</v>
          </cell>
          <cell r="GO47">
            <v>1.9429999999999999E-2</v>
          </cell>
          <cell r="GP47">
            <v>1.3259999999999999E-2</v>
          </cell>
          <cell r="GQ47">
            <v>2.8119999999999999E-2</v>
          </cell>
          <cell r="GR47">
            <v>2.0799999999999999E-2</v>
          </cell>
          <cell r="GS47">
            <v>2.2440000000000002E-2</v>
          </cell>
          <cell r="GT47">
            <v>1.669E-2</v>
          </cell>
          <cell r="GU47">
            <v>1.6889999999999999E-2</v>
          </cell>
          <cell r="GV47">
            <v>1.111E-2</v>
          </cell>
          <cell r="GW47">
            <v>2.2440000000000002E-2</v>
          </cell>
          <cell r="GX47">
            <v>1.669E-2</v>
          </cell>
          <cell r="GY47">
            <v>1.6889999999999999E-2</v>
          </cell>
          <cell r="GZ47">
            <v>1.111E-2</v>
          </cell>
          <cell r="HA47">
            <v>2.18E-2</v>
          </cell>
          <cell r="HB47">
            <v>1.9300000000000001E-2</v>
          </cell>
          <cell r="HC47">
            <v>1.9799999999999998E-2</v>
          </cell>
          <cell r="HD47">
            <v>1.6299999999999999E-2</v>
          </cell>
          <cell r="HE47">
            <v>2.18E-2</v>
          </cell>
          <cell r="HF47">
            <v>1.9300000000000001E-2</v>
          </cell>
          <cell r="HG47">
            <v>1.9799999999999998E-2</v>
          </cell>
          <cell r="HH47">
            <v>1.6299999999999999E-2</v>
          </cell>
          <cell r="HI47">
            <v>2.5680000000000001E-2</v>
          </cell>
          <cell r="HJ47">
            <v>1.8970000000000001E-2</v>
          </cell>
          <cell r="HK47">
            <v>1.9439999999999999E-2</v>
          </cell>
          <cell r="HL47">
            <v>1.2500000000000001E-2</v>
          </cell>
          <cell r="HM47">
            <v>2.8459999999999999E-2</v>
          </cell>
          <cell r="HN47">
            <v>1.9900000000000001E-2</v>
          </cell>
          <cell r="HO47">
            <v>2.2440000000000002E-2</v>
          </cell>
          <cell r="HP47">
            <v>1.643E-2</v>
          </cell>
          <cell r="HQ47">
            <v>1.6899999999999998E-2</v>
          </cell>
          <cell r="HR47">
            <v>1.111E-2</v>
          </cell>
          <cell r="HS47">
            <v>2.2440000000000002E-2</v>
          </cell>
          <cell r="HT47">
            <v>1.643E-2</v>
          </cell>
          <cell r="HU47">
            <v>1.6899999999999998E-2</v>
          </cell>
          <cell r="HV47">
            <v>1.111E-2</v>
          </cell>
          <cell r="HW47" t="str">
            <v>%PPL</v>
          </cell>
        </row>
        <row r="48">
          <cell r="AC48" t="str">
            <v>DPD-GPP 3.0 PPA RES (Reseller) w PMA</v>
          </cell>
          <cell r="AD48" t="str">
            <v>Not Applicable</v>
          </cell>
          <cell r="AE48">
            <v>0</v>
          </cell>
          <cell r="AF48" t="str">
            <v>DPD-GPP 3.0 PPA RES (Reseller) w PMA-Not Applicable</v>
          </cell>
          <cell r="AV48" t="str">
            <v>7750 SR-a IOM-a L2HQ</v>
          </cell>
          <cell r="AW48">
            <v>0.73</v>
          </cell>
          <cell r="AX48">
            <v>0.65</v>
          </cell>
          <cell r="AY48">
            <v>0.65</v>
          </cell>
          <cell r="AZ48">
            <v>0.68</v>
          </cell>
          <cell r="BA48">
            <v>0.59799999999999998</v>
          </cell>
          <cell r="BB48">
            <v>0.65</v>
          </cell>
          <cell r="BC48">
            <v>0.68</v>
          </cell>
          <cell r="BD48">
            <v>0.59799999999999998</v>
          </cell>
          <cell r="BE48">
            <v>0.65</v>
          </cell>
          <cell r="BF48">
            <v>0.55000000000000004</v>
          </cell>
          <cell r="BG48">
            <v>0.5</v>
          </cell>
          <cell r="BH48">
            <v>0.65</v>
          </cell>
          <cell r="BI48">
            <v>0.72</v>
          </cell>
          <cell r="BJ48">
            <v>0.6</v>
          </cell>
          <cell r="BK48">
            <v>2.5000000000000001E-2</v>
          </cell>
          <cell r="BL48" t="str">
            <v>%PMP</v>
          </cell>
          <cell r="BM48">
            <v>1.83E-2</v>
          </cell>
          <cell r="BN48">
            <v>1.4800000000000001E-2</v>
          </cell>
          <cell r="BO48">
            <v>1.5299999999999999E-2</v>
          </cell>
          <cell r="BP48">
            <v>1.18E-2</v>
          </cell>
          <cell r="BQ48">
            <v>1.83E-2</v>
          </cell>
          <cell r="BR48">
            <v>1.4800000000000001E-2</v>
          </cell>
          <cell r="BS48">
            <v>1.5299999999999999E-2</v>
          </cell>
          <cell r="BT48">
            <v>1.18E-2</v>
          </cell>
          <cell r="BU48">
            <v>1.464E-2</v>
          </cell>
          <cell r="BV48">
            <v>8.2880000000000002E-3</v>
          </cell>
          <cell r="BW48">
            <v>1.2240000000000001E-2</v>
          </cell>
          <cell r="BX48">
            <v>5.6639999999999998E-3</v>
          </cell>
          <cell r="BY48">
            <v>1.6104E-2</v>
          </cell>
          <cell r="BZ48">
            <v>9.7680000000000024E-3</v>
          </cell>
          <cell r="CA48">
            <v>1.1712E-2</v>
          </cell>
          <cell r="CB48">
            <v>6.6304000000000007E-3</v>
          </cell>
          <cell r="CC48">
            <v>9.7920000000000004E-3</v>
          </cell>
          <cell r="CD48">
            <v>4.5312E-3</v>
          </cell>
          <cell r="CE48">
            <v>1.1712E-2</v>
          </cell>
          <cell r="CF48">
            <v>6.6304000000000007E-3</v>
          </cell>
          <cell r="CG48">
            <v>9.7920000000000004E-3</v>
          </cell>
          <cell r="CH48">
            <v>4.5312E-3</v>
          </cell>
          <cell r="CI48">
            <v>2.3900000000000001E-2</v>
          </cell>
          <cell r="CJ48">
            <v>2.0399999999999998E-2</v>
          </cell>
          <cell r="CK48">
            <v>2.1700000000000001E-2</v>
          </cell>
          <cell r="CL48">
            <v>1.8200000000000001E-2</v>
          </cell>
          <cell r="CM48">
            <v>2.3900000000000001E-2</v>
          </cell>
          <cell r="CN48">
            <v>2.0399999999999998E-2</v>
          </cell>
          <cell r="CO48">
            <v>2.1700000000000001E-2</v>
          </cell>
          <cell r="CP48">
            <v>1.8200000000000001E-2</v>
          </cell>
          <cell r="CQ48">
            <v>1.5005213397630631E-2</v>
          </cell>
          <cell r="CR48">
            <v>8.772710904008019E-3</v>
          </cell>
          <cell r="CS48">
            <v>1.3768828773106756E-2</v>
          </cell>
          <cell r="CT48">
            <v>6.7776357144354081E-3</v>
          </cell>
          <cell r="CU48">
            <v>1.6505734737393696E-2</v>
          </cell>
          <cell r="CV48">
            <v>1.0339266422580883E-2</v>
          </cell>
          <cell r="CW48">
            <v>1.2026650438550392E-2</v>
          </cell>
          <cell r="CX48">
            <v>7.0417724296745979E-3</v>
          </cell>
          <cell r="CY48">
            <v>1.1015063018485404E-2</v>
          </cell>
          <cell r="CZ48">
            <v>5.4288524876820931E-3</v>
          </cell>
          <cell r="DA48">
            <v>1.2026650438550392E-2</v>
          </cell>
          <cell r="DB48">
            <v>7.0417724296745979E-3</v>
          </cell>
          <cell r="DC48">
            <v>1.1015063018485404E-2</v>
          </cell>
          <cell r="DD48">
            <v>5.4288524876820931E-3</v>
          </cell>
          <cell r="DE48">
            <v>1.38E-2</v>
          </cell>
          <cell r="DF48">
            <v>1.03E-2</v>
          </cell>
          <cell r="DG48">
            <v>1.21E-2</v>
          </cell>
          <cell r="DH48">
            <v>8.6E-3</v>
          </cell>
          <cell r="DI48">
            <v>2.4400000000000002E-2</v>
          </cell>
          <cell r="DJ48">
            <v>2.0899999999999998E-2</v>
          </cell>
          <cell r="DK48">
            <v>2.1499999999999998E-2</v>
          </cell>
          <cell r="DL48">
            <v>1.7999999999999999E-2</v>
          </cell>
          <cell r="DM48">
            <v>1.38E-2</v>
          </cell>
          <cell r="DN48">
            <v>1.03E-2</v>
          </cell>
          <cell r="DO48">
            <v>1.21E-2</v>
          </cell>
          <cell r="DP48">
            <v>8.6E-3</v>
          </cell>
          <cell r="DQ48">
            <v>1.38E-2</v>
          </cell>
          <cell r="DR48">
            <v>1.03E-2</v>
          </cell>
          <cell r="DS48">
            <v>1.21E-2</v>
          </cell>
          <cell r="DT48">
            <v>8.6E-3</v>
          </cell>
          <cell r="DU48">
            <v>1.0999999999999999E-2</v>
          </cell>
          <cell r="DV48">
            <v>7.4000000000000003E-3</v>
          </cell>
          <cell r="DW48">
            <v>9.7000000000000003E-3</v>
          </cell>
          <cell r="DX48">
            <v>6.1000000000000004E-3</v>
          </cell>
          <cell r="DY48">
            <v>1.21E-2</v>
          </cell>
          <cell r="DZ48">
            <v>8.9999999999999993E-3</v>
          </cell>
          <cell r="EA48">
            <v>9.1999999999999998E-3</v>
          </cell>
          <cell r="EB48">
            <v>6.1999999999999998E-3</v>
          </cell>
          <cell r="EC48">
            <v>8.0999999999999996E-3</v>
          </cell>
          <cell r="ED48">
            <v>5.1000000000000004E-3</v>
          </cell>
          <cell r="EE48">
            <v>9.1999999999999998E-3</v>
          </cell>
          <cell r="EF48">
            <v>6.1999999999999998E-3</v>
          </cell>
          <cell r="EG48">
            <v>8.0999999999999996E-3</v>
          </cell>
          <cell r="EH48">
            <v>5.1000000000000004E-3</v>
          </cell>
          <cell r="EI48">
            <v>2.4400000000000002E-2</v>
          </cell>
          <cell r="EJ48">
            <v>2.0899999999999998E-2</v>
          </cell>
          <cell r="EK48">
            <v>2.1499999999999998E-2</v>
          </cell>
          <cell r="EL48">
            <v>1.7999999999999999E-2</v>
          </cell>
          <cell r="EM48">
            <v>1.38E-2</v>
          </cell>
          <cell r="EN48">
            <v>1.03E-2</v>
          </cell>
          <cell r="EO48">
            <v>1.21E-2</v>
          </cell>
          <cell r="EP48">
            <v>8.6E-3</v>
          </cell>
          <cell r="EQ48">
            <v>1.38E-2</v>
          </cell>
          <cell r="ER48">
            <v>1.03E-2</v>
          </cell>
          <cell r="ES48">
            <v>1.21E-2</v>
          </cell>
          <cell r="ET48">
            <v>8.6E-3</v>
          </cell>
          <cell r="EU48">
            <v>1.0999999999999999E-2</v>
          </cell>
          <cell r="EV48">
            <v>7.4000000000000003E-3</v>
          </cell>
          <cell r="EW48">
            <v>9.7000000000000003E-3</v>
          </cell>
          <cell r="EX48">
            <v>6.1000000000000004E-3</v>
          </cell>
          <cell r="EY48">
            <v>1.21E-2</v>
          </cell>
          <cell r="EZ48">
            <v>8.9999999999999993E-3</v>
          </cell>
          <cell r="FA48">
            <v>9.1999999999999998E-3</v>
          </cell>
          <cell r="FB48">
            <v>6.1999999999999998E-3</v>
          </cell>
          <cell r="FC48">
            <v>8.0999999999999996E-3</v>
          </cell>
          <cell r="FD48">
            <v>5.1000000000000004E-3</v>
          </cell>
          <cell r="FE48">
            <v>9.1999999999999998E-3</v>
          </cell>
          <cell r="FF48">
            <v>6.1999999999999998E-3</v>
          </cell>
          <cell r="FG48">
            <v>8.0999999999999996E-3</v>
          </cell>
          <cell r="FH48">
            <v>5.1000000000000004E-3</v>
          </cell>
          <cell r="FI48">
            <v>2.76E-2</v>
          </cell>
          <cell r="FJ48">
            <v>2.4E-2</v>
          </cell>
          <cell r="FK48">
            <v>2.47E-2</v>
          </cell>
          <cell r="FL48">
            <v>2.1100000000000001E-2</v>
          </cell>
          <cell r="FM48">
            <v>2.76E-2</v>
          </cell>
          <cell r="FN48">
            <v>2.4E-2</v>
          </cell>
          <cell r="FO48">
            <v>2.47E-2</v>
          </cell>
          <cell r="FP48">
            <v>2.1100000000000001E-2</v>
          </cell>
          <cell r="FQ48">
            <v>1.46E-2</v>
          </cell>
          <cell r="FR48">
            <v>1.14E-2</v>
          </cell>
          <cell r="FS48">
            <v>1.2200000000000001E-2</v>
          </cell>
          <cell r="FT48">
            <v>8.3999999999999995E-3</v>
          </cell>
          <cell r="FU48">
            <v>1.6E-2</v>
          </cell>
          <cell r="FV48">
            <v>1.1900000000000001E-2</v>
          </cell>
          <cell r="FW48">
            <v>1.26E-2</v>
          </cell>
          <cell r="FX48">
            <v>9.9000000000000008E-3</v>
          </cell>
          <cell r="FY48">
            <v>1.0500000000000001E-2</v>
          </cell>
          <cell r="FZ48">
            <v>7.1999999999999998E-3</v>
          </cell>
          <cell r="GA48">
            <v>1.26E-2</v>
          </cell>
          <cell r="GB48">
            <v>9.9000000000000008E-3</v>
          </cell>
          <cell r="GC48">
            <v>1.0500000000000001E-2</v>
          </cell>
          <cell r="GD48">
            <v>7.1999999999999998E-3</v>
          </cell>
          <cell r="GE48">
            <v>2.18E-2</v>
          </cell>
          <cell r="GF48">
            <v>1.9300000000000001E-2</v>
          </cell>
          <cell r="GG48">
            <v>1.9799999999999998E-2</v>
          </cell>
          <cell r="GH48">
            <v>1.6299999999999999E-2</v>
          </cell>
          <cell r="GI48">
            <v>2.18E-2</v>
          </cell>
          <cell r="GJ48">
            <v>1.9300000000000001E-2</v>
          </cell>
          <cell r="GK48">
            <v>1.9799999999999998E-2</v>
          </cell>
          <cell r="GL48">
            <v>1.6299999999999999E-2</v>
          </cell>
          <cell r="GM48">
            <v>1.46E-2</v>
          </cell>
          <cell r="GN48">
            <v>1.0999999999999999E-2</v>
          </cell>
          <cell r="GO48">
            <v>1.2200000000000001E-2</v>
          </cell>
          <cell r="GP48">
            <v>8.0000000000000002E-3</v>
          </cell>
          <cell r="GQ48">
            <v>1.6E-2</v>
          </cell>
          <cell r="GR48">
            <v>1.14E-2</v>
          </cell>
          <cell r="GS48">
            <v>1.26E-2</v>
          </cell>
          <cell r="GT48">
            <v>9.4999999999999998E-3</v>
          </cell>
          <cell r="GU48">
            <v>1.0500000000000001E-2</v>
          </cell>
          <cell r="GV48">
            <v>7.0000000000000001E-3</v>
          </cell>
          <cell r="GW48">
            <v>1.26E-2</v>
          </cell>
          <cell r="GX48">
            <v>9.4999999999999998E-3</v>
          </cell>
          <cell r="GY48">
            <v>1.0500000000000001E-2</v>
          </cell>
          <cell r="GZ48">
            <v>7.0000000000000001E-3</v>
          </cell>
          <cell r="HA48">
            <v>2.18E-2</v>
          </cell>
          <cell r="HB48">
            <v>1.9300000000000001E-2</v>
          </cell>
          <cell r="HC48">
            <v>1.9799999999999998E-2</v>
          </cell>
          <cell r="HD48">
            <v>1.6299999999999999E-2</v>
          </cell>
          <cell r="HE48">
            <v>2.18E-2</v>
          </cell>
          <cell r="HF48">
            <v>1.9300000000000001E-2</v>
          </cell>
          <cell r="HG48">
            <v>1.9799999999999998E-2</v>
          </cell>
          <cell r="HH48">
            <v>1.6299999999999999E-2</v>
          </cell>
          <cell r="HI48">
            <v>1.46E-2</v>
          </cell>
          <cell r="HJ48">
            <v>1.0999999999999999E-2</v>
          </cell>
          <cell r="HK48">
            <v>1.2200000000000001E-2</v>
          </cell>
          <cell r="HL48">
            <v>8.0000000000000002E-3</v>
          </cell>
          <cell r="HM48">
            <v>1.6E-2</v>
          </cell>
          <cell r="HN48">
            <v>1.14E-2</v>
          </cell>
          <cell r="HO48">
            <v>1.26E-2</v>
          </cell>
          <cell r="HP48">
            <v>9.4999999999999998E-3</v>
          </cell>
          <cell r="HQ48">
            <v>1.0500000000000001E-2</v>
          </cell>
          <cell r="HR48">
            <v>7.0000000000000001E-3</v>
          </cell>
          <cell r="HS48">
            <v>1.26E-2</v>
          </cell>
          <cell r="HT48">
            <v>9.4999999999999998E-3</v>
          </cell>
          <cell r="HU48">
            <v>1.0500000000000001E-2</v>
          </cell>
          <cell r="HV48">
            <v>7.0000000000000001E-3</v>
          </cell>
          <cell r="HW48" t="str">
            <v>%PPL</v>
          </cell>
        </row>
        <row r="49">
          <cell r="AC49" t="str">
            <v>DPD-GPP 1.0 CPA</v>
          </cell>
          <cell r="AD49" t="str">
            <v>Not Applicable</v>
          </cell>
          <cell r="AE49">
            <v>0</v>
          </cell>
          <cell r="AF49" t="str">
            <v>DPD-GPP 1.0 CPA-Not Applicable</v>
          </cell>
          <cell r="AV49" t="str">
            <v>7750 SR-a IOM-a L3BQ</v>
          </cell>
          <cell r="AW49">
            <v>0.73</v>
          </cell>
          <cell r="AX49">
            <v>0.65</v>
          </cell>
          <cell r="AY49">
            <v>0.65</v>
          </cell>
          <cell r="AZ49">
            <v>0.68</v>
          </cell>
          <cell r="BA49">
            <v>0.59799999999999998</v>
          </cell>
          <cell r="BB49">
            <v>0.65</v>
          </cell>
          <cell r="BC49">
            <v>0.68</v>
          </cell>
          <cell r="BD49">
            <v>0.59799999999999998</v>
          </cell>
          <cell r="BE49">
            <v>0.65</v>
          </cell>
          <cell r="BF49">
            <v>0.55000000000000004</v>
          </cell>
          <cell r="BG49">
            <v>0.5</v>
          </cell>
          <cell r="BH49">
            <v>0.65</v>
          </cell>
          <cell r="BI49">
            <v>0.72</v>
          </cell>
          <cell r="BJ49">
            <v>0.6</v>
          </cell>
          <cell r="BK49">
            <v>2.5000000000000001E-2</v>
          </cell>
          <cell r="BL49" t="str">
            <v>%PMP</v>
          </cell>
          <cell r="BM49">
            <v>1.83E-2</v>
          </cell>
          <cell r="BN49">
            <v>1.4800000000000001E-2</v>
          </cell>
          <cell r="BO49">
            <v>1.5299999999999999E-2</v>
          </cell>
          <cell r="BP49">
            <v>1.18E-2</v>
          </cell>
          <cell r="BQ49">
            <v>1.83E-2</v>
          </cell>
          <cell r="BR49">
            <v>1.4800000000000001E-2</v>
          </cell>
          <cell r="BS49">
            <v>1.5299999999999999E-2</v>
          </cell>
          <cell r="BT49">
            <v>1.18E-2</v>
          </cell>
          <cell r="BU49">
            <v>1.464E-2</v>
          </cell>
          <cell r="BV49">
            <v>8.2880000000000002E-3</v>
          </cell>
          <cell r="BW49">
            <v>1.2240000000000001E-2</v>
          </cell>
          <cell r="BX49">
            <v>5.6639999999999998E-3</v>
          </cell>
          <cell r="BY49">
            <v>1.6104E-2</v>
          </cell>
          <cell r="BZ49">
            <v>9.7680000000000024E-3</v>
          </cell>
          <cell r="CA49">
            <v>1.1712E-2</v>
          </cell>
          <cell r="CB49">
            <v>6.6304000000000007E-3</v>
          </cell>
          <cell r="CC49">
            <v>9.7920000000000004E-3</v>
          </cell>
          <cell r="CD49">
            <v>4.5312E-3</v>
          </cell>
          <cell r="CE49">
            <v>1.1712E-2</v>
          </cell>
          <cell r="CF49">
            <v>6.6304000000000007E-3</v>
          </cell>
          <cell r="CG49">
            <v>9.7920000000000004E-3</v>
          </cell>
          <cell r="CH49">
            <v>4.5312E-3</v>
          </cell>
          <cell r="CI49">
            <v>2.3900000000000001E-2</v>
          </cell>
          <cell r="CJ49">
            <v>2.0399999999999998E-2</v>
          </cell>
          <cell r="CK49">
            <v>2.1700000000000001E-2</v>
          </cell>
          <cell r="CL49">
            <v>1.8200000000000001E-2</v>
          </cell>
          <cell r="CM49">
            <v>2.3900000000000001E-2</v>
          </cell>
          <cell r="CN49">
            <v>2.0399999999999998E-2</v>
          </cell>
          <cell r="CO49">
            <v>2.1700000000000001E-2</v>
          </cell>
          <cell r="CP49">
            <v>1.8200000000000001E-2</v>
          </cell>
          <cell r="CQ49">
            <v>1.5005213397630631E-2</v>
          </cell>
          <cell r="CR49">
            <v>8.772710904008019E-3</v>
          </cell>
          <cell r="CS49">
            <v>1.3768828773106756E-2</v>
          </cell>
          <cell r="CT49">
            <v>6.7776357144354081E-3</v>
          </cell>
          <cell r="CU49">
            <v>1.6505734737393696E-2</v>
          </cell>
          <cell r="CV49">
            <v>1.0339266422580883E-2</v>
          </cell>
          <cell r="CW49">
            <v>1.2026650438550392E-2</v>
          </cell>
          <cell r="CX49">
            <v>7.0417724296745979E-3</v>
          </cell>
          <cell r="CY49">
            <v>1.1015063018485404E-2</v>
          </cell>
          <cell r="CZ49">
            <v>5.4288524876820931E-3</v>
          </cell>
          <cell r="DA49">
            <v>1.2026650438550392E-2</v>
          </cell>
          <cell r="DB49">
            <v>7.0417724296745979E-3</v>
          </cell>
          <cell r="DC49">
            <v>1.1015063018485404E-2</v>
          </cell>
          <cell r="DD49">
            <v>5.4288524876820931E-3</v>
          </cell>
          <cell r="DE49">
            <v>1.38E-2</v>
          </cell>
          <cell r="DF49">
            <v>1.03E-2</v>
          </cell>
          <cell r="DG49">
            <v>1.21E-2</v>
          </cell>
          <cell r="DH49">
            <v>8.6E-3</v>
          </cell>
          <cell r="DI49">
            <v>2.4400000000000002E-2</v>
          </cell>
          <cell r="DJ49">
            <v>2.0899999999999998E-2</v>
          </cell>
          <cell r="DK49">
            <v>2.1499999999999998E-2</v>
          </cell>
          <cell r="DL49">
            <v>1.7999999999999999E-2</v>
          </cell>
          <cell r="DM49">
            <v>1.38E-2</v>
          </cell>
          <cell r="DN49">
            <v>1.03E-2</v>
          </cell>
          <cell r="DO49">
            <v>1.21E-2</v>
          </cell>
          <cell r="DP49">
            <v>8.6E-3</v>
          </cell>
          <cell r="DQ49">
            <v>1.38E-2</v>
          </cell>
          <cell r="DR49">
            <v>1.03E-2</v>
          </cell>
          <cell r="DS49">
            <v>1.21E-2</v>
          </cell>
          <cell r="DT49">
            <v>8.6E-3</v>
          </cell>
          <cell r="DU49">
            <v>1.0999999999999999E-2</v>
          </cell>
          <cell r="DV49">
            <v>7.4000000000000003E-3</v>
          </cell>
          <cell r="DW49">
            <v>9.7000000000000003E-3</v>
          </cell>
          <cell r="DX49">
            <v>6.1000000000000004E-3</v>
          </cell>
          <cell r="DY49">
            <v>1.21E-2</v>
          </cell>
          <cell r="DZ49">
            <v>8.9999999999999993E-3</v>
          </cell>
          <cell r="EA49">
            <v>9.1999999999999998E-3</v>
          </cell>
          <cell r="EB49">
            <v>6.1999999999999998E-3</v>
          </cell>
          <cell r="EC49">
            <v>8.0999999999999996E-3</v>
          </cell>
          <cell r="ED49">
            <v>5.1000000000000004E-3</v>
          </cell>
          <cell r="EE49">
            <v>9.1999999999999998E-3</v>
          </cell>
          <cell r="EF49">
            <v>6.1999999999999998E-3</v>
          </cell>
          <cell r="EG49">
            <v>8.0999999999999996E-3</v>
          </cell>
          <cell r="EH49">
            <v>5.1000000000000004E-3</v>
          </cell>
          <cell r="EI49">
            <v>2.4400000000000002E-2</v>
          </cell>
          <cell r="EJ49">
            <v>2.0899999999999998E-2</v>
          </cell>
          <cell r="EK49">
            <v>2.1499999999999998E-2</v>
          </cell>
          <cell r="EL49">
            <v>1.7999999999999999E-2</v>
          </cell>
          <cell r="EM49">
            <v>1.38E-2</v>
          </cell>
          <cell r="EN49">
            <v>1.03E-2</v>
          </cell>
          <cell r="EO49">
            <v>1.21E-2</v>
          </cell>
          <cell r="EP49">
            <v>8.6E-3</v>
          </cell>
          <cell r="EQ49">
            <v>1.38E-2</v>
          </cell>
          <cell r="ER49">
            <v>1.03E-2</v>
          </cell>
          <cell r="ES49">
            <v>1.21E-2</v>
          </cell>
          <cell r="ET49">
            <v>8.6E-3</v>
          </cell>
          <cell r="EU49">
            <v>1.0999999999999999E-2</v>
          </cell>
          <cell r="EV49">
            <v>7.4000000000000003E-3</v>
          </cell>
          <cell r="EW49">
            <v>9.7000000000000003E-3</v>
          </cell>
          <cell r="EX49">
            <v>6.1000000000000004E-3</v>
          </cell>
          <cell r="EY49">
            <v>1.21E-2</v>
          </cell>
          <cell r="EZ49">
            <v>8.9999999999999993E-3</v>
          </cell>
          <cell r="FA49">
            <v>9.1999999999999998E-3</v>
          </cell>
          <cell r="FB49">
            <v>6.1999999999999998E-3</v>
          </cell>
          <cell r="FC49">
            <v>8.0999999999999996E-3</v>
          </cell>
          <cell r="FD49">
            <v>5.1000000000000004E-3</v>
          </cell>
          <cell r="FE49">
            <v>9.1999999999999998E-3</v>
          </cell>
          <cell r="FF49">
            <v>6.1999999999999998E-3</v>
          </cell>
          <cell r="FG49">
            <v>8.0999999999999996E-3</v>
          </cell>
          <cell r="FH49">
            <v>5.1000000000000004E-3</v>
          </cell>
          <cell r="FI49">
            <v>2.76E-2</v>
          </cell>
          <cell r="FJ49">
            <v>2.4E-2</v>
          </cell>
          <cell r="FK49">
            <v>2.47E-2</v>
          </cell>
          <cell r="FL49">
            <v>2.1100000000000001E-2</v>
          </cell>
          <cell r="FM49">
            <v>2.76E-2</v>
          </cell>
          <cell r="FN49">
            <v>2.4E-2</v>
          </cell>
          <cell r="FO49">
            <v>2.47E-2</v>
          </cell>
          <cell r="FP49">
            <v>2.1100000000000001E-2</v>
          </cell>
          <cell r="FQ49">
            <v>1.46E-2</v>
          </cell>
          <cell r="FR49">
            <v>1.14E-2</v>
          </cell>
          <cell r="FS49">
            <v>1.2200000000000001E-2</v>
          </cell>
          <cell r="FT49">
            <v>8.3999999999999995E-3</v>
          </cell>
          <cell r="FU49">
            <v>1.6E-2</v>
          </cell>
          <cell r="FV49">
            <v>1.1900000000000001E-2</v>
          </cell>
          <cell r="FW49">
            <v>1.26E-2</v>
          </cell>
          <cell r="FX49">
            <v>9.9000000000000008E-3</v>
          </cell>
          <cell r="FY49">
            <v>1.0500000000000001E-2</v>
          </cell>
          <cell r="FZ49">
            <v>7.1999999999999998E-3</v>
          </cell>
          <cell r="GA49">
            <v>1.26E-2</v>
          </cell>
          <cell r="GB49">
            <v>9.9000000000000008E-3</v>
          </cell>
          <cell r="GC49">
            <v>1.0500000000000001E-2</v>
          </cell>
          <cell r="GD49">
            <v>7.1999999999999998E-3</v>
          </cell>
          <cell r="GE49">
            <v>2.18E-2</v>
          </cell>
          <cell r="GF49">
            <v>1.9300000000000001E-2</v>
          </cell>
          <cell r="GG49">
            <v>1.9799999999999998E-2</v>
          </cell>
          <cell r="GH49">
            <v>1.6299999999999999E-2</v>
          </cell>
          <cell r="GI49">
            <v>2.18E-2</v>
          </cell>
          <cell r="GJ49">
            <v>1.9300000000000001E-2</v>
          </cell>
          <cell r="GK49">
            <v>1.9799999999999998E-2</v>
          </cell>
          <cell r="GL49">
            <v>1.6299999999999999E-2</v>
          </cell>
          <cell r="GM49">
            <v>1.46E-2</v>
          </cell>
          <cell r="GN49">
            <v>1.0999999999999999E-2</v>
          </cell>
          <cell r="GO49">
            <v>1.2200000000000001E-2</v>
          </cell>
          <cell r="GP49">
            <v>8.0000000000000002E-3</v>
          </cell>
          <cell r="GQ49">
            <v>1.6E-2</v>
          </cell>
          <cell r="GR49">
            <v>1.14E-2</v>
          </cell>
          <cell r="GS49">
            <v>1.8499999999999999E-2</v>
          </cell>
          <cell r="GT49">
            <v>1.3299999999999999E-2</v>
          </cell>
          <cell r="GU49">
            <v>1.7600000000000001E-2</v>
          </cell>
          <cell r="GV49">
            <v>1.09E-2</v>
          </cell>
          <cell r="GW49">
            <v>1.8499999999999999E-2</v>
          </cell>
          <cell r="GX49">
            <v>1.3299999999999999E-2</v>
          </cell>
          <cell r="GY49">
            <v>1.7600000000000001E-2</v>
          </cell>
          <cell r="GZ49">
            <v>1.09E-2</v>
          </cell>
          <cell r="HA49">
            <v>2.18E-2</v>
          </cell>
          <cell r="HB49">
            <v>1.9300000000000001E-2</v>
          </cell>
          <cell r="HC49">
            <v>1.9799999999999998E-2</v>
          </cell>
          <cell r="HD49">
            <v>1.6299999999999999E-2</v>
          </cell>
          <cell r="HE49">
            <v>2.18E-2</v>
          </cell>
          <cell r="HF49">
            <v>1.9300000000000001E-2</v>
          </cell>
          <cell r="HG49">
            <v>1.9799999999999998E-2</v>
          </cell>
          <cell r="HH49">
            <v>1.6299999999999999E-2</v>
          </cell>
          <cell r="HI49">
            <v>1.46E-2</v>
          </cell>
          <cell r="HJ49">
            <v>1.0999999999999999E-2</v>
          </cell>
          <cell r="HK49">
            <v>1.2200000000000001E-2</v>
          </cell>
          <cell r="HL49">
            <v>8.0000000000000002E-3</v>
          </cell>
          <cell r="HM49">
            <v>1.6E-2</v>
          </cell>
          <cell r="HN49">
            <v>1.14E-2</v>
          </cell>
          <cell r="HO49">
            <v>1.26E-2</v>
          </cell>
          <cell r="HP49">
            <v>9.4999999999999998E-3</v>
          </cell>
          <cell r="HQ49">
            <v>1.0500000000000001E-2</v>
          </cell>
          <cell r="HR49">
            <v>7.0000000000000001E-3</v>
          </cell>
          <cell r="HS49">
            <v>1.26E-2</v>
          </cell>
          <cell r="HT49">
            <v>9.4999999999999998E-3</v>
          </cell>
          <cell r="HU49">
            <v>1.0500000000000001E-2</v>
          </cell>
          <cell r="HV49">
            <v>7.0000000000000001E-3</v>
          </cell>
          <cell r="HW49" t="str">
            <v>%PPL</v>
          </cell>
        </row>
        <row r="50">
          <cell r="AC50" t="str">
            <v>DPD-ALE GPP 1.0 CPA</v>
          </cell>
          <cell r="AD50" t="str">
            <v>Not Applicable</v>
          </cell>
          <cell r="AE50">
            <v>0</v>
          </cell>
          <cell r="AF50" t="str">
            <v>DPD-ALE GPP 1.0 CPA-Not Applicable</v>
          </cell>
          <cell r="AV50" t="str">
            <v>7750 SR-a IOM-a L3HQ</v>
          </cell>
          <cell r="AW50">
            <v>0.73</v>
          </cell>
          <cell r="AX50">
            <v>0.65</v>
          </cell>
          <cell r="AY50">
            <v>0.65</v>
          </cell>
          <cell r="AZ50">
            <v>0.68</v>
          </cell>
          <cell r="BA50">
            <v>0.59799999999999998</v>
          </cell>
          <cell r="BB50">
            <v>0.65</v>
          </cell>
          <cell r="BC50">
            <v>0.68</v>
          </cell>
          <cell r="BD50">
            <v>0.59799999999999998</v>
          </cell>
          <cell r="BE50">
            <v>0.65</v>
          </cell>
          <cell r="BF50">
            <v>0.55000000000000004</v>
          </cell>
          <cell r="BG50">
            <v>0.5</v>
          </cell>
          <cell r="BH50">
            <v>0.65</v>
          </cell>
          <cell r="BI50">
            <v>0.72</v>
          </cell>
          <cell r="BJ50">
            <v>0.6</v>
          </cell>
          <cell r="BK50">
            <v>2.5000000000000001E-2</v>
          </cell>
          <cell r="BL50" t="str">
            <v>%PMP</v>
          </cell>
          <cell r="BM50">
            <v>1.83E-2</v>
          </cell>
          <cell r="BN50">
            <v>1.4800000000000001E-2</v>
          </cell>
          <cell r="BO50">
            <v>1.5299999999999999E-2</v>
          </cell>
          <cell r="BP50">
            <v>1.18E-2</v>
          </cell>
          <cell r="BQ50">
            <v>1.83E-2</v>
          </cell>
          <cell r="BR50">
            <v>1.4800000000000001E-2</v>
          </cell>
          <cell r="BS50">
            <v>1.5299999999999999E-2</v>
          </cell>
          <cell r="BT50">
            <v>1.18E-2</v>
          </cell>
          <cell r="BU50">
            <v>1.464E-2</v>
          </cell>
          <cell r="BV50">
            <v>8.2880000000000002E-3</v>
          </cell>
          <cell r="BW50">
            <v>1.2240000000000001E-2</v>
          </cell>
          <cell r="BX50">
            <v>5.6639999999999998E-3</v>
          </cell>
          <cell r="BY50">
            <v>1.6104E-2</v>
          </cell>
          <cell r="BZ50">
            <v>9.7680000000000024E-3</v>
          </cell>
          <cell r="CA50">
            <v>1.1712E-2</v>
          </cell>
          <cell r="CB50">
            <v>6.6304000000000007E-3</v>
          </cell>
          <cell r="CC50">
            <v>9.7920000000000004E-3</v>
          </cell>
          <cell r="CD50">
            <v>4.5312E-3</v>
          </cell>
          <cell r="CE50">
            <v>1.1712E-2</v>
          </cell>
          <cell r="CF50">
            <v>6.6304000000000007E-3</v>
          </cell>
          <cell r="CG50">
            <v>9.7920000000000004E-3</v>
          </cell>
          <cell r="CH50">
            <v>4.5312E-3</v>
          </cell>
          <cell r="CI50">
            <v>2.3900000000000001E-2</v>
          </cell>
          <cell r="CJ50">
            <v>2.0399999999999998E-2</v>
          </cell>
          <cell r="CK50">
            <v>2.1700000000000001E-2</v>
          </cell>
          <cell r="CL50">
            <v>1.8200000000000001E-2</v>
          </cell>
          <cell r="CM50">
            <v>2.3900000000000001E-2</v>
          </cell>
          <cell r="CN50">
            <v>2.0399999999999998E-2</v>
          </cell>
          <cell r="CO50">
            <v>2.1700000000000001E-2</v>
          </cell>
          <cell r="CP50">
            <v>1.8200000000000001E-2</v>
          </cell>
          <cell r="CQ50">
            <v>1.5005213397630631E-2</v>
          </cell>
          <cell r="CR50">
            <v>8.772710904008019E-3</v>
          </cell>
          <cell r="CS50">
            <v>1.3768828773106756E-2</v>
          </cell>
          <cell r="CT50">
            <v>6.7776357144354081E-3</v>
          </cell>
          <cell r="CU50">
            <v>1.6505734737393696E-2</v>
          </cell>
          <cell r="CV50">
            <v>1.0339266422580883E-2</v>
          </cell>
          <cell r="CW50">
            <v>1.2026650438550392E-2</v>
          </cell>
          <cell r="CX50">
            <v>7.0417724296745979E-3</v>
          </cell>
          <cell r="CY50">
            <v>1.1015063018485404E-2</v>
          </cell>
          <cell r="CZ50">
            <v>5.4288524876820931E-3</v>
          </cell>
          <cell r="DA50">
            <v>1.2026650438550392E-2</v>
          </cell>
          <cell r="DB50">
            <v>7.0417724296745979E-3</v>
          </cell>
          <cell r="DC50">
            <v>1.1015063018485404E-2</v>
          </cell>
          <cell r="DD50">
            <v>5.4288524876820931E-3</v>
          </cell>
          <cell r="DE50">
            <v>1.38E-2</v>
          </cell>
          <cell r="DF50">
            <v>1.03E-2</v>
          </cell>
          <cell r="DG50">
            <v>1.21E-2</v>
          </cell>
          <cell r="DH50">
            <v>8.6E-3</v>
          </cell>
          <cell r="DI50">
            <v>2.4400000000000002E-2</v>
          </cell>
          <cell r="DJ50">
            <v>2.0899999999999998E-2</v>
          </cell>
          <cell r="DK50">
            <v>2.1499999999999998E-2</v>
          </cell>
          <cell r="DL50">
            <v>1.7999999999999999E-2</v>
          </cell>
          <cell r="DM50">
            <v>1.38E-2</v>
          </cell>
          <cell r="DN50">
            <v>1.03E-2</v>
          </cell>
          <cell r="DO50">
            <v>1.21E-2</v>
          </cell>
          <cell r="DP50">
            <v>8.6E-3</v>
          </cell>
          <cell r="DQ50">
            <v>1.38E-2</v>
          </cell>
          <cell r="DR50">
            <v>1.03E-2</v>
          </cell>
          <cell r="DS50">
            <v>1.21E-2</v>
          </cell>
          <cell r="DT50">
            <v>8.6E-3</v>
          </cell>
          <cell r="DU50">
            <v>1.0999999999999999E-2</v>
          </cell>
          <cell r="DV50">
            <v>7.4000000000000003E-3</v>
          </cell>
          <cell r="DW50">
            <v>9.7000000000000003E-3</v>
          </cell>
          <cell r="DX50">
            <v>6.1000000000000004E-3</v>
          </cell>
          <cell r="DY50">
            <v>1.21E-2</v>
          </cell>
          <cell r="DZ50">
            <v>8.9999999999999993E-3</v>
          </cell>
          <cell r="EA50">
            <v>9.1999999999999998E-3</v>
          </cell>
          <cell r="EB50">
            <v>6.1999999999999998E-3</v>
          </cell>
          <cell r="EC50">
            <v>8.0999999999999996E-3</v>
          </cell>
          <cell r="ED50">
            <v>5.1000000000000004E-3</v>
          </cell>
          <cell r="EE50">
            <v>9.1999999999999998E-3</v>
          </cell>
          <cell r="EF50">
            <v>6.1999999999999998E-3</v>
          </cell>
          <cell r="EG50">
            <v>8.0999999999999996E-3</v>
          </cell>
          <cell r="EH50">
            <v>5.1000000000000004E-3</v>
          </cell>
          <cell r="EI50">
            <v>2.4400000000000002E-2</v>
          </cell>
          <cell r="EJ50">
            <v>2.0899999999999998E-2</v>
          </cell>
          <cell r="EK50">
            <v>2.1499999999999998E-2</v>
          </cell>
          <cell r="EL50">
            <v>1.7999999999999999E-2</v>
          </cell>
          <cell r="EM50">
            <v>1.38E-2</v>
          </cell>
          <cell r="EN50">
            <v>1.03E-2</v>
          </cell>
          <cell r="EO50">
            <v>1.21E-2</v>
          </cell>
          <cell r="EP50">
            <v>8.6E-3</v>
          </cell>
          <cell r="EQ50">
            <v>1.38E-2</v>
          </cell>
          <cell r="ER50">
            <v>1.03E-2</v>
          </cell>
          <cell r="ES50">
            <v>1.21E-2</v>
          </cell>
          <cell r="ET50">
            <v>8.6E-3</v>
          </cell>
          <cell r="EU50">
            <v>1.0999999999999999E-2</v>
          </cell>
          <cell r="EV50">
            <v>7.4000000000000003E-3</v>
          </cell>
          <cell r="EW50">
            <v>9.7000000000000003E-3</v>
          </cell>
          <cell r="EX50">
            <v>6.1000000000000004E-3</v>
          </cell>
          <cell r="EY50">
            <v>1.21E-2</v>
          </cell>
          <cell r="EZ50">
            <v>8.9999999999999993E-3</v>
          </cell>
          <cell r="FA50">
            <v>9.1999999999999998E-3</v>
          </cell>
          <cell r="FB50">
            <v>6.1999999999999998E-3</v>
          </cell>
          <cell r="FC50">
            <v>8.0999999999999996E-3</v>
          </cell>
          <cell r="FD50">
            <v>5.1000000000000004E-3</v>
          </cell>
          <cell r="FE50">
            <v>9.1999999999999998E-3</v>
          </cell>
          <cell r="FF50">
            <v>6.1999999999999998E-3</v>
          </cell>
          <cell r="FG50">
            <v>8.0999999999999996E-3</v>
          </cell>
          <cell r="FH50">
            <v>5.1000000000000004E-3</v>
          </cell>
          <cell r="FI50">
            <v>2.76E-2</v>
          </cell>
          <cell r="FJ50">
            <v>2.4E-2</v>
          </cell>
          <cell r="FK50">
            <v>2.47E-2</v>
          </cell>
          <cell r="FL50">
            <v>2.1100000000000001E-2</v>
          </cell>
          <cell r="FM50">
            <v>2.76E-2</v>
          </cell>
          <cell r="FN50">
            <v>2.4E-2</v>
          </cell>
          <cell r="FO50">
            <v>2.47E-2</v>
          </cell>
          <cell r="FP50">
            <v>2.1100000000000001E-2</v>
          </cell>
          <cell r="FQ50">
            <v>1.46E-2</v>
          </cell>
          <cell r="FR50">
            <v>1.14E-2</v>
          </cell>
          <cell r="FS50">
            <v>1.2200000000000001E-2</v>
          </cell>
          <cell r="FT50">
            <v>8.3999999999999995E-3</v>
          </cell>
          <cell r="FU50">
            <v>1.6E-2</v>
          </cell>
          <cell r="FV50">
            <v>1.1900000000000001E-2</v>
          </cell>
          <cell r="FW50">
            <v>1.26E-2</v>
          </cell>
          <cell r="FX50">
            <v>9.9000000000000008E-3</v>
          </cell>
          <cell r="FY50">
            <v>1.0500000000000001E-2</v>
          </cell>
          <cell r="FZ50">
            <v>7.1999999999999998E-3</v>
          </cell>
          <cell r="GA50">
            <v>1.26E-2</v>
          </cell>
          <cell r="GB50">
            <v>9.9000000000000008E-3</v>
          </cell>
          <cell r="GC50">
            <v>1.0500000000000001E-2</v>
          </cell>
          <cell r="GD50">
            <v>7.1999999999999998E-3</v>
          </cell>
          <cell r="GE50">
            <v>2.18E-2</v>
          </cell>
          <cell r="GF50">
            <v>1.9300000000000001E-2</v>
          </cell>
          <cell r="GG50">
            <v>1.9799999999999998E-2</v>
          </cell>
          <cell r="GH50">
            <v>1.6299999999999999E-2</v>
          </cell>
          <cell r="GI50">
            <v>2.18E-2</v>
          </cell>
          <cell r="GJ50">
            <v>1.9300000000000001E-2</v>
          </cell>
          <cell r="GK50">
            <v>1.9799999999999998E-2</v>
          </cell>
          <cell r="GL50">
            <v>1.6299999999999999E-2</v>
          </cell>
          <cell r="GM50">
            <v>1.46E-2</v>
          </cell>
          <cell r="GN50">
            <v>1.0999999999999999E-2</v>
          </cell>
          <cell r="GO50">
            <v>1.2200000000000001E-2</v>
          </cell>
          <cell r="GP50">
            <v>8.0000000000000002E-3</v>
          </cell>
          <cell r="GQ50">
            <v>1.6E-2</v>
          </cell>
          <cell r="GR50">
            <v>1.14E-2</v>
          </cell>
          <cell r="GS50">
            <v>1.8499999999999999E-2</v>
          </cell>
          <cell r="GT50">
            <v>1.3299999999999999E-2</v>
          </cell>
          <cell r="GU50">
            <v>1.7600000000000001E-2</v>
          </cell>
          <cell r="GV50">
            <v>1.09E-2</v>
          </cell>
          <cell r="GW50">
            <v>1.8499999999999999E-2</v>
          </cell>
          <cell r="GX50">
            <v>1.3299999999999999E-2</v>
          </cell>
          <cell r="GY50">
            <v>1.7600000000000001E-2</v>
          </cell>
          <cell r="GZ50">
            <v>1.09E-2</v>
          </cell>
          <cell r="HA50">
            <v>2.18E-2</v>
          </cell>
          <cell r="HB50">
            <v>1.9300000000000001E-2</v>
          </cell>
          <cell r="HC50">
            <v>1.9799999999999998E-2</v>
          </cell>
          <cell r="HD50">
            <v>1.6299999999999999E-2</v>
          </cell>
          <cell r="HE50">
            <v>2.18E-2</v>
          </cell>
          <cell r="HF50">
            <v>1.9300000000000001E-2</v>
          </cell>
          <cell r="HG50">
            <v>1.9799999999999998E-2</v>
          </cell>
          <cell r="HH50">
            <v>1.6299999999999999E-2</v>
          </cell>
          <cell r="HI50">
            <v>1.46E-2</v>
          </cell>
          <cell r="HJ50">
            <v>1.0999999999999999E-2</v>
          </cell>
          <cell r="HK50">
            <v>1.2200000000000001E-2</v>
          </cell>
          <cell r="HL50">
            <v>8.0000000000000002E-3</v>
          </cell>
          <cell r="HM50">
            <v>1.6E-2</v>
          </cell>
          <cell r="HN50">
            <v>1.14E-2</v>
          </cell>
          <cell r="HO50">
            <v>1.26E-2</v>
          </cell>
          <cell r="HP50">
            <v>9.4999999999999998E-3</v>
          </cell>
          <cell r="HQ50">
            <v>1.0500000000000001E-2</v>
          </cell>
          <cell r="HR50">
            <v>7.0000000000000001E-3</v>
          </cell>
          <cell r="HS50">
            <v>1.26E-2</v>
          </cell>
          <cell r="HT50">
            <v>9.4999999999999998E-3</v>
          </cell>
          <cell r="HU50">
            <v>1.0500000000000001E-2</v>
          </cell>
          <cell r="HV50">
            <v>7.0000000000000001E-3</v>
          </cell>
          <cell r="HW50" t="str">
            <v>%PPL</v>
          </cell>
        </row>
        <row r="51">
          <cell r="AV51" t="str">
            <v>7750 SR-a MDA-a</v>
          </cell>
          <cell r="AW51">
            <v>0.73</v>
          </cell>
          <cell r="AX51">
            <v>0.65</v>
          </cell>
          <cell r="AY51">
            <v>0.65</v>
          </cell>
          <cell r="AZ51">
            <v>0.75</v>
          </cell>
          <cell r="BA51">
            <v>0.59799999999999998</v>
          </cell>
          <cell r="BB51">
            <v>0.65</v>
          </cell>
          <cell r="BC51">
            <v>0.75</v>
          </cell>
          <cell r="BD51">
            <v>0.59799999999999998</v>
          </cell>
          <cell r="BE51">
            <v>0.65</v>
          </cell>
          <cell r="BF51">
            <v>0.55000000000000004</v>
          </cell>
          <cell r="BG51">
            <v>0.5</v>
          </cell>
          <cell r="BH51">
            <v>0.65</v>
          </cell>
          <cell r="BI51">
            <v>0.74</v>
          </cell>
          <cell r="BJ51">
            <v>0.6</v>
          </cell>
          <cell r="BK51">
            <v>2.5000000000000001E-2</v>
          </cell>
          <cell r="BL51" t="str">
            <v>%PMP</v>
          </cell>
          <cell r="BM51">
            <v>1.83E-2</v>
          </cell>
          <cell r="BN51">
            <v>1.4800000000000001E-2</v>
          </cell>
          <cell r="BO51">
            <v>1.5299999999999999E-2</v>
          </cell>
          <cell r="BP51">
            <v>1.18E-2</v>
          </cell>
          <cell r="BQ51">
            <v>1.83E-2</v>
          </cell>
          <cell r="BR51">
            <v>1.4800000000000001E-2</v>
          </cell>
          <cell r="BS51">
            <v>1.5299999999999999E-2</v>
          </cell>
          <cell r="BT51">
            <v>1.18E-2</v>
          </cell>
          <cell r="BU51">
            <v>1.464E-2</v>
          </cell>
          <cell r="BV51">
            <v>8.2880000000000002E-3</v>
          </cell>
          <cell r="BW51">
            <v>1.2240000000000001E-2</v>
          </cell>
          <cell r="BX51">
            <v>5.6639999999999998E-3</v>
          </cell>
          <cell r="BY51">
            <v>1.6104E-2</v>
          </cell>
          <cell r="BZ51">
            <v>9.7680000000000024E-3</v>
          </cell>
          <cell r="CA51">
            <v>1.1712E-2</v>
          </cell>
          <cell r="CB51">
            <v>6.6304000000000007E-3</v>
          </cell>
          <cell r="CC51">
            <v>9.7920000000000004E-3</v>
          </cell>
          <cell r="CD51">
            <v>4.5312E-3</v>
          </cell>
          <cell r="CE51">
            <v>1.1712E-2</v>
          </cell>
          <cell r="CF51">
            <v>6.6304000000000007E-3</v>
          </cell>
          <cell r="CG51">
            <v>9.7920000000000004E-3</v>
          </cell>
          <cell r="CH51">
            <v>4.5312E-3</v>
          </cell>
          <cell r="CI51">
            <v>2.3900000000000001E-2</v>
          </cell>
          <cell r="CJ51">
            <v>2.0399999999999998E-2</v>
          </cell>
          <cell r="CK51">
            <v>2.1700000000000001E-2</v>
          </cell>
          <cell r="CL51">
            <v>1.8200000000000001E-2</v>
          </cell>
          <cell r="CM51">
            <v>2.3900000000000001E-2</v>
          </cell>
          <cell r="CN51">
            <v>2.0399999999999998E-2</v>
          </cell>
          <cell r="CO51">
            <v>2.1700000000000001E-2</v>
          </cell>
          <cell r="CP51">
            <v>1.8200000000000001E-2</v>
          </cell>
          <cell r="CQ51">
            <v>1.5005213397630631E-2</v>
          </cell>
          <cell r="CR51">
            <v>8.772710904008019E-3</v>
          </cell>
          <cell r="CS51">
            <v>1.3768828773106756E-2</v>
          </cell>
          <cell r="CT51">
            <v>6.7776357144354081E-3</v>
          </cell>
          <cell r="CU51">
            <v>1.6505734737393696E-2</v>
          </cell>
          <cell r="CV51">
            <v>1.0339266422580883E-2</v>
          </cell>
          <cell r="CW51">
            <v>1.2026650438550392E-2</v>
          </cell>
          <cell r="CX51">
            <v>7.0417724296745979E-3</v>
          </cell>
          <cell r="CY51">
            <v>1.1015063018485404E-2</v>
          </cell>
          <cell r="CZ51">
            <v>5.4288524876820931E-3</v>
          </cell>
          <cell r="DA51">
            <v>1.2026650438550392E-2</v>
          </cell>
          <cell r="DB51">
            <v>7.0417724296745979E-3</v>
          </cell>
          <cell r="DC51">
            <v>1.1015063018485404E-2</v>
          </cell>
          <cell r="DD51">
            <v>5.4288524876820931E-3</v>
          </cell>
          <cell r="DE51">
            <v>1.38E-2</v>
          </cell>
          <cell r="DF51">
            <v>1.03E-2</v>
          </cell>
          <cell r="DG51">
            <v>1.21E-2</v>
          </cell>
          <cell r="DH51">
            <v>8.6E-3</v>
          </cell>
          <cell r="DI51">
            <v>1.83E-2</v>
          </cell>
          <cell r="DJ51">
            <v>1.4800000000000001E-2</v>
          </cell>
          <cell r="DK51">
            <v>1.61E-2</v>
          </cell>
          <cell r="DL51">
            <v>1.26E-2</v>
          </cell>
          <cell r="DM51">
            <v>1.38E-2</v>
          </cell>
          <cell r="DN51">
            <v>1.03E-2</v>
          </cell>
          <cell r="DO51">
            <v>1.21E-2</v>
          </cell>
          <cell r="DP51">
            <v>8.6E-3</v>
          </cell>
          <cell r="DQ51">
            <v>1.38E-2</v>
          </cell>
          <cell r="DR51">
            <v>1.03E-2</v>
          </cell>
          <cell r="DS51">
            <v>1.21E-2</v>
          </cell>
          <cell r="DT51">
            <v>8.6E-3</v>
          </cell>
          <cell r="DU51">
            <v>1.0999999999999999E-2</v>
          </cell>
          <cell r="DV51">
            <v>7.4000000000000003E-3</v>
          </cell>
          <cell r="DW51">
            <v>9.7000000000000003E-3</v>
          </cell>
          <cell r="DX51">
            <v>6.1000000000000004E-3</v>
          </cell>
          <cell r="DY51">
            <v>1.21E-2</v>
          </cell>
          <cell r="DZ51">
            <v>8.9999999999999993E-3</v>
          </cell>
          <cell r="EA51">
            <v>9.1999999999999998E-3</v>
          </cell>
          <cell r="EB51">
            <v>6.1999999999999998E-3</v>
          </cell>
          <cell r="EC51">
            <v>8.0999999999999996E-3</v>
          </cell>
          <cell r="ED51">
            <v>5.1000000000000004E-3</v>
          </cell>
          <cell r="EE51">
            <v>9.1999999999999998E-3</v>
          </cell>
          <cell r="EF51">
            <v>6.1999999999999998E-3</v>
          </cell>
          <cell r="EG51">
            <v>8.0999999999999996E-3</v>
          </cell>
          <cell r="EH51">
            <v>5.1000000000000004E-3</v>
          </cell>
          <cell r="EI51">
            <v>1.83E-2</v>
          </cell>
          <cell r="EJ51">
            <v>1.4800000000000001E-2</v>
          </cell>
          <cell r="EK51">
            <v>1.61E-2</v>
          </cell>
          <cell r="EL51">
            <v>1.26E-2</v>
          </cell>
          <cell r="EM51">
            <v>1.38E-2</v>
          </cell>
          <cell r="EN51">
            <v>1.03E-2</v>
          </cell>
          <cell r="EO51">
            <v>1.21E-2</v>
          </cell>
          <cell r="EP51">
            <v>8.6E-3</v>
          </cell>
          <cell r="EQ51">
            <v>1.38E-2</v>
          </cell>
          <cell r="ER51">
            <v>1.03E-2</v>
          </cell>
          <cell r="ES51">
            <v>1.21E-2</v>
          </cell>
          <cell r="ET51">
            <v>8.6E-3</v>
          </cell>
          <cell r="EU51">
            <v>1.0999999999999999E-2</v>
          </cell>
          <cell r="EV51">
            <v>7.4000000000000003E-3</v>
          </cell>
          <cell r="EW51">
            <v>9.7000000000000003E-3</v>
          </cell>
          <cell r="EX51">
            <v>6.1000000000000004E-3</v>
          </cell>
          <cell r="EY51">
            <v>1.21E-2</v>
          </cell>
          <cell r="EZ51">
            <v>8.9999999999999993E-3</v>
          </cell>
          <cell r="FA51">
            <v>9.1999999999999998E-3</v>
          </cell>
          <cell r="FB51">
            <v>6.1999999999999998E-3</v>
          </cell>
          <cell r="FC51">
            <v>8.0999999999999996E-3</v>
          </cell>
          <cell r="FD51">
            <v>5.1000000000000004E-3</v>
          </cell>
          <cell r="FE51">
            <v>9.1999999999999998E-3</v>
          </cell>
          <cell r="FF51">
            <v>6.1999999999999998E-3</v>
          </cell>
          <cell r="FG51">
            <v>8.0999999999999996E-3</v>
          </cell>
          <cell r="FH51">
            <v>5.1000000000000004E-3</v>
          </cell>
          <cell r="FI51">
            <v>2.76E-2</v>
          </cell>
          <cell r="FJ51">
            <v>2.4E-2</v>
          </cell>
          <cell r="FK51">
            <v>2.47E-2</v>
          </cell>
          <cell r="FL51">
            <v>2.1100000000000001E-2</v>
          </cell>
          <cell r="FM51">
            <v>2.76E-2</v>
          </cell>
          <cell r="FN51">
            <v>2.4E-2</v>
          </cell>
          <cell r="FO51">
            <v>2.47E-2</v>
          </cell>
          <cell r="FP51">
            <v>2.1100000000000001E-2</v>
          </cell>
          <cell r="FQ51">
            <v>1.46E-2</v>
          </cell>
          <cell r="FR51">
            <v>1.14E-2</v>
          </cell>
          <cell r="FS51">
            <v>1.2200000000000001E-2</v>
          </cell>
          <cell r="FT51">
            <v>8.3999999999999995E-3</v>
          </cell>
          <cell r="FU51">
            <v>1.6E-2</v>
          </cell>
          <cell r="FV51">
            <v>1.1900000000000001E-2</v>
          </cell>
          <cell r="FW51">
            <v>1.26E-2</v>
          </cell>
          <cell r="FX51">
            <v>9.9000000000000008E-3</v>
          </cell>
          <cell r="FY51">
            <v>1.0500000000000001E-2</v>
          </cell>
          <cell r="FZ51">
            <v>7.1999999999999998E-3</v>
          </cell>
          <cell r="GA51">
            <v>1.26E-2</v>
          </cell>
          <cell r="GB51">
            <v>9.9000000000000008E-3</v>
          </cell>
          <cell r="GC51">
            <v>1.0500000000000001E-2</v>
          </cell>
          <cell r="GD51">
            <v>7.1999999999999998E-3</v>
          </cell>
          <cell r="GE51">
            <v>2.18E-2</v>
          </cell>
          <cell r="GF51">
            <v>1.9300000000000001E-2</v>
          </cell>
          <cell r="GG51">
            <v>1.9799999999999998E-2</v>
          </cell>
          <cell r="GH51">
            <v>1.6299999999999999E-2</v>
          </cell>
          <cell r="GI51">
            <v>2.18E-2</v>
          </cell>
          <cell r="GJ51">
            <v>1.9300000000000001E-2</v>
          </cell>
          <cell r="GK51">
            <v>1.9799999999999998E-2</v>
          </cell>
          <cell r="GL51">
            <v>1.6299999999999999E-2</v>
          </cell>
          <cell r="GM51">
            <v>1.46E-2</v>
          </cell>
          <cell r="GN51">
            <v>1.0999999999999999E-2</v>
          </cell>
          <cell r="GO51">
            <v>1.2200000000000001E-2</v>
          </cell>
          <cell r="GP51">
            <v>8.0000000000000002E-3</v>
          </cell>
          <cell r="GQ51">
            <v>1.6E-2</v>
          </cell>
          <cell r="GR51">
            <v>1.14E-2</v>
          </cell>
          <cell r="GS51">
            <v>1.8499999999999999E-2</v>
          </cell>
          <cell r="GT51">
            <v>1.3299999999999999E-2</v>
          </cell>
          <cell r="GU51">
            <v>1.7600000000000001E-2</v>
          </cell>
          <cell r="GV51">
            <v>1.09E-2</v>
          </cell>
          <cell r="GW51">
            <v>1.8499999999999999E-2</v>
          </cell>
          <cell r="GX51">
            <v>1.3299999999999999E-2</v>
          </cell>
          <cell r="GY51">
            <v>1.7600000000000001E-2</v>
          </cell>
          <cell r="GZ51">
            <v>1.09E-2</v>
          </cell>
          <cell r="HA51">
            <v>2.18E-2</v>
          </cell>
          <cell r="HB51">
            <v>1.9300000000000001E-2</v>
          </cell>
          <cell r="HC51">
            <v>1.9799999999999998E-2</v>
          </cell>
          <cell r="HD51">
            <v>1.6299999999999999E-2</v>
          </cell>
          <cell r="HE51">
            <v>2.18E-2</v>
          </cell>
          <cell r="HF51">
            <v>1.9300000000000001E-2</v>
          </cell>
          <cell r="HG51">
            <v>1.9799999999999998E-2</v>
          </cell>
          <cell r="HH51">
            <v>1.6299999999999999E-2</v>
          </cell>
          <cell r="HI51">
            <v>1.46E-2</v>
          </cell>
          <cell r="HJ51">
            <v>1.0999999999999999E-2</v>
          </cell>
          <cell r="HK51">
            <v>1.2200000000000001E-2</v>
          </cell>
          <cell r="HL51">
            <v>8.0000000000000002E-3</v>
          </cell>
          <cell r="HM51">
            <v>1.6E-2</v>
          </cell>
          <cell r="HN51">
            <v>1.14E-2</v>
          </cell>
          <cell r="HO51">
            <v>1.26E-2</v>
          </cell>
          <cell r="HP51">
            <v>9.4999999999999998E-3</v>
          </cell>
          <cell r="HQ51">
            <v>1.0500000000000001E-2</v>
          </cell>
          <cell r="HR51">
            <v>7.0000000000000001E-3</v>
          </cell>
          <cell r="HS51">
            <v>1.26E-2</v>
          </cell>
          <cell r="HT51">
            <v>9.4999999999999998E-3</v>
          </cell>
          <cell r="HU51">
            <v>1.0500000000000001E-2</v>
          </cell>
          <cell r="HV51">
            <v>7.0000000000000001E-3</v>
          </cell>
          <cell r="HW51" t="str">
            <v>%PPL</v>
          </cell>
        </row>
        <row r="52">
          <cell r="AV52" t="str">
            <v>7750 SR-e Bundles</v>
          </cell>
          <cell r="AW52">
            <v>0.8</v>
          </cell>
          <cell r="AX52">
            <v>0.7</v>
          </cell>
          <cell r="AY52">
            <v>0.75</v>
          </cell>
          <cell r="AZ52">
            <v>0.75</v>
          </cell>
          <cell r="BA52">
            <v>0.71</v>
          </cell>
          <cell r="BB52">
            <v>0.75</v>
          </cell>
          <cell r="BC52">
            <v>0.75</v>
          </cell>
          <cell r="BD52">
            <v>0.71</v>
          </cell>
          <cell r="BE52">
            <v>0.75</v>
          </cell>
          <cell r="BF52">
            <v>0.75</v>
          </cell>
          <cell r="BG52">
            <v>0.75</v>
          </cell>
          <cell r="BH52">
            <v>0.75</v>
          </cell>
          <cell r="BI52">
            <v>0.75</v>
          </cell>
          <cell r="BJ52">
            <v>0.6</v>
          </cell>
          <cell r="BK52">
            <v>2.5000000000000001E-2</v>
          </cell>
          <cell r="BL52" t="str">
            <v>%PMP</v>
          </cell>
          <cell r="BM52">
            <v>1.4E-2</v>
          </cell>
          <cell r="BN52">
            <v>1.0500000000000001E-2</v>
          </cell>
          <cell r="BO52">
            <v>1.06E-2</v>
          </cell>
          <cell r="BP52">
            <v>7.1000000000000004E-3</v>
          </cell>
          <cell r="BQ52">
            <v>1.4E-2</v>
          </cell>
          <cell r="BR52">
            <v>1.0500000000000001E-2</v>
          </cell>
          <cell r="BS52">
            <v>1.06E-2</v>
          </cell>
          <cell r="BT52">
            <v>7.1000000000000004E-3</v>
          </cell>
          <cell r="BU52">
            <v>1.1200000000000002E-2</v>
          </cell>
          <cell r="BV52">
            <v>5.8800000000000007E-3</v>
          </cell>
          <cell r="BW52">
            <v>8.4799999999999997E-3</v>
          </cell>
          <cell r="BX52">
            <v>3.4080000000000004E-3</v>
          </cell>
          <cell r="BY52">
            <v>1.2320000000000003E-2</v>
          </cell>
          <cell r="BZ52">
            <v>6.9300000000000013E-3</v>
          </cell>
          <cell r="CA52">
            <v>8.9600000000000009E-3</v>
          </cell>
          <cell r="CB52">
            <v>4.7039999999999998E-3</v>
          </cell>
          <cell r="CC52">
            <v>6.7840000000000001E-3</v>
          </cell>
          <cell r="CD52">
            <v>2.7263999999999999E-3</v>
          </cell>
          <cell r="CE52">
            <v>8.9600000000000009E-3</v>
          </cell>
          <cell r="CF52">
            <v>4.7039999999999998E-3</v>
          </cell>
          <cell r="CG52">
            <v>6.7840000000000001E-3</v>
          </cell>
          <cell r="CH52">
            <v>2.7263999999999999E-3</v>
          </cell>
          <cell r="CI52">
            <v>1.3100000000000001E-2</v>
          </cell>
          <cell r="CJ52">
            <v>9.6000000000000009E-3</v>
          </cell>
          <cell r="CK52">
            <v>1.18E-2</v>
          </cell>
          <cell r="CL52">
            <v>8.3000000000000001E-3</v>
          </cell>
          <cell r="CM52">
            <v>1.3100000000000001E-2</v>
          </cell>
          <cell r="CN52">
            <v>9.6000000000000009E-3</v>
          </cell>
          <cell r="CO52">
            <v>1.18E-2</v>
          </cell>
          <cell r="CP52">
            <v>8.3000000000000001E-3</v>
          </cell>
          <cell r="CQ52">
            <v>1.0063256512499504E-2</v>
          </cell>
          <cell r="CR52">
            <v>4.9991661384674946E-3</v>
          </cell>
          <cell r="CS52">
            <v>8.6349233300802193E-3</v>
          </cell>
          <cell r="CT52">
            <v>3.46695417914499E-3</v>
          </cell>
          <cell r="CU52">
            <v>1.1069582163749456E-2</v>
          </cell>
          <cell r="CV52">
            <v>5.8918743774795477E-3</v>
          </cell>
          <cell r="CW52">
            <v>8.0506052099996034E-3</v>
          </cell>
          <cell r="CX52">
            <v>4.0447798756691553E-3</v>
          </cell>
          <cell r="CY52">
            <v>6.8819689698383707E-3</v>
          </cell>
          <cell r="CZ52">
            <v>2.7657724350482506E-3</v>
          </cell>
          <cell r="DA52">
            <v>8.0506052099996034E-3</v>
          </cell>
          <cell r="DB52">
            <v>4.0447798756691553E-3</v>
          </cell>
          <cell r="DC52">
            <v>6.8819689698383707E-3</v>
          </cell>
          <cell r="DD52">
            <v>2.7657724350482506E-3</v>
          </cell>
          <cell r="DE52">
            <v>1.0999999999999999E-2</v>
          </cell>
          <cell r="DF52">
            <v>7.4999999999999997E-3</v>
          </cell>
          <cell r="DG52">
            <v>9.7000000000000003E-3</v>
          </cell>
          <cell r="DH52">
            <v>6.1999999999999998E-3</v>
          </cell>
          <cell r="DI52">
            <v>1.83E-2</v>
          </cell>
          <cell r="DJ52">
            <v>1.4800000000000001E-2</v>
          </cell>
          <cell r="DK52">
            <v>1.61E-2</v>
          </cell>
          <cell r="DL52">
            <v>1.26E-2</v>
          </cell>
          <cell r="DM52">
            <v>1.0999999999999999E-2</v>
          </cell>
          <cell r="DN52">
            <v>7.5000000000000006E-3</v>
          </cell>
          <cell r="DO52">
            <v>9.6999999999999986E-3</v>
          </cell>
          <cell r="DP52">
            <v>6.2000000000000006E-3</v>
          </cell>
          <cell r="DQ52">
            <v>1.0999999999999999E-2</v>
          </cell>
          <cell r="DR52">
            <v>7.5000000000000006E-3</v>
          </cell>
          <cell r="DS52">
            <v>9.6999999999999986E-3</v>
          </cell>
          <cell r="DT52">
            <v>6.2000000000000006E-3</v>
          </cell>
          <cell r="DU52">
            <v>8.8000000000000005E-3</v>
          </cell>
          <cell r="DV52">
            <v>5.4000000000000003E-3</v>
          </cell>
          <cell r="DW52">
            <v>7.7999999999999996E-3</v>
          </cell>
          <cell r="DX52">
            <v>4.0000000000000001E-3</v>
          </cell>
          <cell r="DY52">
            <v>9.7000000000000003E-3</v>
          </cell>
          <cell r="DZ52">
            <v>6.0000000000000001E-3</v>
          </cell>
          <cell r="EA52">
            <v>7.3000000000000001E-3</v>
          </cell>
          <cell r="EB52">
            <v>4.4999999999999997E-3</v>
          </cell>
          <cell r="EC52">
            <v>6.4999999999999997E-3</v>
          </cell>
          <cell r="ED52">
            <v>3.3E-3</v>
          </cell>
          <cell r="EE52">
            <v>7.3000000000000001E-3</v>
          </cell>
          <cell r="EF52">
            <v>4.4999999999999997E-3</v>
          </cell>
          <cell r="EG52">
            <v>6.4999999999999997E-3</v>
          </cell>
          <cell r="EH52">
            <v>3.3E-3</v>
          </cell>
          <cell r="EI52">
            <v>1.83E-2</v>
          </cell>
          <cell r="EJ52">
            <v>1.4800000000000001E-2</v>
          </cell>
          <cell r="EK52">
            <v>1.61E-2</v>
          </cell>
          <cell r="EL52">
            <v>1.26E-2</v>
          </cell>
          <cell r="EM52">
            <v>1.0999999999999999E-2</v>
          </cell>
          <cell r="EN52">
            <v>7.5000000000000006E-3</v>
          </cell>
          <cell r="EO52">
            <v>9.6999999999999986E-3</v>
          </cell>
          <cell r="EP52">
            <v>6.2000000000000006E-3</v>
          </cell>
          <cell r="EQ52">
            <v>1.0999999999999999E-2</v>
          </cell>
          <cell r="ER52">
            <v>7.5000000000000006E-3</v>
          </cell>
          <cell r="ES52">
            <v>9.6999999999999986E-3</v>
          </cell>
          <cell r="ET52">
            <v>6.2000000000000006E-3</v>
          </cell>
          <cell r="EU52">
            <v>8.8000000000000005E-3</v>
          </cell>
          <cell r="EV52">
            <v>5.4000000000000003E-3</v>
          </cell>
          <cell r="EW52">
            <v>7.7999999999999996E-3</v>
          </cell>
          <cell r="EX52">
            <v>4.0000000000000001E-3</v>
          </cell>
          <cell r="EY52">
            <v>9.7000000000000003E-3</v>
          </cell>
          <cell r="EZ52">
            <v>6.0000000000000001E-3</v>
          </cell>
          <cell r="FA52">
            <v>7.3000000000000001E-3</v>
          </cell>
          <cell r="FB52">
            <v>4.4999999999999997E-3</v>
          </cell>
          <cell r="FC52">
            <v>6.4999999999999997E-3</v>
          </cell>
          <cell r="FD52">
            <v>3.3E-3</v>
          </cell>
          <cell r="FE52">
            <v>7.3000000000000001E-3</v>
          </cell>
          <cell r="FF52">
            <v>4.4999999999999997E-3</v>
          </cell>
          <cell r="FG52">
            <v>6.4999999999999997E-3</v>
          </cell>
          <cell r="FH52">
            <v>3.3E-3</v>
          </cell>
          <cell r="FI52">
            <v>2.76E-2</v>
          </cell>
          <cell r="FJ52">
            <v>2.4E-2</v>
          </cell>
          <cell r="FK52">
            <v>2.47E-2</v>
          </cell>
          <cell r="FL52">
            <v>2.1100000000000001E-2</v>
          </cell>
          <cell r="FM52">
            <v>2.76E-2</v>
          </cell>
          <cell r="FN52">
            <v>2.4E-2</v>
          </cell>
          <cell r="FO52">
            <v>2.47E-2</v>
          </cell>
          <cell r="FP52">
            <v>2.1100000000000001E-2</v>
          </cell>
          <cell r="FQ52">
            <v>1.11E-2</v>
          </cell>
          <cell r="FR52">
            <v>8.8000000000000005E-3</v>
          </cell>
          <cell r="FS52">
            <v>8.3999999999999995E-3</v>
          </cell>
          <cell r="FT52">
            <v>5.7999999999999996E-3</v>
          </cell>
          <cell r="FU52">
            <v>1.23E-2</v>
          </cell>
          <cell r="FV52">
            <v>9.1000000000000004E-3</v>
          </cell>
          <cell r="FW52">
            <v>9.7000000000000003E-3</v>
          </cell>
          <cell r="FX52">
            <v>7.6E-3</v>
          </cell>
          <cell r="FY52">
            <v>7.3000000000000001E-3</v>
          </cell>
          <cell r="FZ52">
            <v>5.0000000000000001E-3</v>
          </cell>
          <cell r="GA52">
            <v>9.7000000000000003E-3</v>
          </cell>
          <cell r="GB52">
            <v>7.6E-3</v>
          </cell>
          <cell r="GC52">
            <v>7.3000000000000001E-3</v>
          </cell>
          <cell r="GD52">
            <v>5.0000000000000001E-3</v>
          </cell>
          <cell r="GE52">
            <v>2.18E-2</v>
          </cell>
          <cell r="GF52">
            <v>1.9300000000000001E-2</v>
          </cell>
          <cell r="GG52">
            <v>1.9799999999999998E-2</v>
          </cell>
          <cell r="GH52">
            <v>1.6299999999999999E-2</v>
          </cell>
          <cell r="GI52">
            <v>2.18E-2</v>
          </cell>
          <cell r="GJ52">
            <v>1.9300000000000001E-2</v>
          </cell>
          <cell r="GK52">
            <v>1.9799999999999998E-2</v>
          </cell>
          <cell r="GL52">
            <v>1.6299999999999999E-2</v>
          </cell>
          <cell r="GM52">
            <v>1.11E-2</v>
          </cell>
          <cell r="GN52">
            <v>8.3999999999999995E-3</v>
          </cell>
          <cell r="GO52">
            <v>8.3999999999999995E-3</v>
          </cell>
          <cell r="GP52">
            <v>5.5999999999999999E-3</v>
          </cell>
          <cell r="GQ52">
            <v>1.23E-2</v>
          </cell>
          <cell r="GR52">
            <v>8.8000000000000005E-3</v>
          </cell>
          <cell r="GS52">
            <v>9.7000000000000003E-3</v>
          </cell>
          <cell r="GT52">
            <v>7.3000000000000001E-3</v>
          </cell>
          <cell r="GU52">
            <v>7.3000000000000001E-3</v>
          </cell>
          <cell r="GV52">
            <v>4.7999999999999996E-3</v>
          </cell>
          <cell r="GW52">
            <v>9.7000000000000003E-3</v>
          </cell>
          <cell r="GX52">
            <v>7.3000000000000001E-3</v>
          </cell>
          <cell r="GY52">
            <v>7.3000000000000001E-3</v>
          </cell>
          <cell r="GZ52">
            <v>4.7999999999999996E-3</v>
          </cell>
          <cell r="HA52">
            <v>2.18E-2</v>
          </cell>
          <cell r="HB52">
            <v>1.9300000000000001E-2</v>
          </cell>
          <cell r="HC52">
            <v>1.9799999999999998E-2</v>
          </cell>
          <cell r="HD52">
            <v>1.6299999999999999E-2</v>
          </cell>
          <cell r="HE52">
            <v>2.18E-2</v>
          </cell>
          <cell r="HF52">
            <v>1.9300000000000001E-2</v>
          </cell>
          <cell r="HG52">
            <v>1.9799999999999998E-2</v>
          </cell>
          <cell r="HH52">
            <v>1.6299999999999999E-2</v>
          </cell>
          <cell r="HI52">
            <v>1.11E-2</v>
          </cell>
          <cell r="HJ52">
            <v>8.2000000000000007E-3</v>
          </cell>
          <cell r="HK52">
            <v>8.3999999999999995E-3</v>
          </cell>
          <cell r="HL52">
            <v>5.4000000000000003E-3</v>
          </cell>
          <cell r="HM52">
            <v>1.23E-2</v>
          </cell>
          <cell r="HN52">
            <v>8.6E-3</v>
          </cell>
          <cell r="HO52">
            <v>9.7000000000000003E-3</v>
          </cell>
          <cell r="HP52">
            <v>7.1000000000000004E-3</v>
          </cell>
          <cell r="HQ52">
            <v>7.3000000000000001E-3</v>
          </cell>
          <cell r="HR52">
            <v>4.7000000000000002E-3</v>
          </cell>
          <cell r="HS52">
            <v>9.7000000000000003E-3</v>
          </cell>
          <cell r="HT52">
            <v>7.1000000000000004E-3</v>
          </cell>
          <cell r="HU52">
            <v>7.3000000000000001E-3</v>
          </cell>
          <cell r="HV52">
            <v>4.7000000000000002E-3</v>
          </cell>
          <cell r="HW52" t="str">
            <v>%PPL</v>
          </cell>
        </row>
        <row r="53">
          <cell r="AV53" t="str">
            <v>7750 SR-s Accessories</v>
          </cell>
          <cell r="AW53">
            <v>0.73</v>
          </cell>
          <cell r="AX53">
            <v>0.62</v>
          </cell>
          <cell r="AY53">
            <v>0.65</v>
          </cell>
          <cell r="AZ53">
            <v>0.6</v>
          </cell>
          <cell r="BA53">
            <v>0.56000000000000005</v>
          </cell>
          <cell r="BB53">
            <v>0.65</v>
          </cell>
          <cell r="BC53">
            <v>0.6</v>
          </cell>
          <cell r="BD53">
            <v>0.56000000000000005</v>
          </cell>
          <cell r="BE53">
            <v>0.65</v>
          </cell>
          <cell r="BF53">
            <v>0.4</v>
          </cell>
          <cell r="BG53">
            <v>0.4</v>
          </cell>
          <cell r="BH53">
            <v>0.65</v>
          </cell>
          <cell r="BI53">
            <v>0.67</v>
          </cell>
          <cell r="BJ53">
            <v>0.6</v>
          </cell>
          <cell r="BK53">
            <v>2.5000000000000001E-2</v>
          </cell>
          <cell r="BL53" t="str">
            <v>%PMP</v>
          </cell>
          <cell r="BM53">
            <v>1.83E-2</v>
          </cell>
          <cell r="BN53">
            <v>1.4800000000000001E-2</v>
          </cell>
          <cell r="BO53">
            <v>1.5299999999999999E-2</v>
          </cell>
          <cell r="BP53">
            <v>1.18E-2</v>
          </cell>
          <cell r="BQ53">
            <v>1.83E-2</v>
          </cell>
          <cell r="BR53">
            <v>1.4800000000000001E-2</v>
          </cell>
          <cell r="BS53">
            <v>1.5299999999999999E-2</v>
          </cell>
          <cell r="BT53">
            <v>1.18E-2</v>
          </cell>
          <cell r="BU53">
            <v>1.2699999999999999E-2</v>
          </cell>
          <cell r="BV53">
            <v>6.6674999999999998E-3</v>
          </cell>
          <cell r="BW53">
            <v>9.6200000000000001E-3</v>
          </cell>
          <cell r="BX53">
            <v>3.8661509433962271E-3</v>
          </cell>
          <cell r="BY53">
            <v>1.397E-2</v>
          </cell>
          <cell r="BZ53">
            <v>7.8581250000000005E-3</v>
          </cell>
          <cell r="CA53">
            <v>1.0160000000000001E-2</v>
          </cell>
          <cell r="CB53">
            <v>5.3299999999999997E-3</v>
          </cell>
          <cell r="CC53">
            <v>7.6899999999999998E-3</v>
          </cell>
          <cell r="CD53">
            <v>3.0899999999999999E-3</v>
          </cell>
          <cell r="CE53">
            <v>1.0160000000000001E-2</v>
          </cell>
          <cell r="CF53">
            <v>5.3299999999999997E-3</v>
          </cell>
          <cell r="CG53">
            <v>7.6899999999999998E-3</v>
          </cell>
          <cell r="CH53">
            <v>3.0899999999999999E-3</v>
          </cell>
          <cell r="CI53">
            <v>2.3900000000000001E-2</v>
          </cell>
          <cell r="CJ53">
            <v>2.0399999999999998E-2</v>
          </cell>
          <cell r="CK53">
            <v>2.1700000000000001E-2</v>
          </cell>
          <cell r="CL53">
            <v>1.8200000000000001E-2</v>
          </cell>
          <cell r="CM53">
            <v>2.3900000000000001E-2</v>
          </cell>
          <cell r="CN53">
            <v>2.0399999999999998E-2</v>
          </cell>
          <cell r="CO53">
            <v>2.1700000000000001E-2</v>
          </cell>
          <cell r="CP53">
            <v>1.8200000000000001E-2</v>
          </cell>
          <cell r="CQ53">
            <v>1.1204909638189858E-2</v>
          </cell>
          <cell r="CR53">
            <v>5.5675951002205609E-3</v>
          </cell>
          <cell r="CS53">
            <v>9.6113224896473004E-3</v>
          </cell>
          <cell r="CT53">
            <v>3.8544889155373114E-3</v>
          </cell>
          <cell r="CU53">
            <v>1.233038056184804E-2</v>
          </cell>
          <cell r="CV53">
            <v>6.5635870680596595E-3</v>
          </cell>
          <cell r="CW53">
            <v>8.9639277105518864E-3</v>
          </cell>
          <cell r="CX53">
            <v>4.5018836946327245E-3</v>
          </cell>
          <cell r="CY53">
            <v>7.6591782326826674E-3</v>
          </cell>
          <cell r="CZ53">
            <v>3.0776151806228141E-3</v>
          </cell>
          <cell r="DA53">
            <v>8.9639277105518864E-3</v>
          </cell>
          <cell r="DB53">
            <v>4.5018836946327245E-3</v>
          </cell>
          <cell r="DC53">
            <v>7.6591782326826674E-3</v>
          </cell>
          <cell r="DD53">
            <v>3.0776151806228141E-3</v>
          </cell>
          <cell r="DE53">
            <v>1.2699999999999999E-2</v>
          </cell>
          <cell r="DF53">
            <v>8.6599999999999993E-3</v>
          </cell>
          <cell r="DG53">
            <v>1.1135507246376811E-2</v>
          </cell>
          <cell r="DH53">
            <v>7.9144927536231886E-3</v>
          </cell>
          <cell r="DI53">
            <v>2.4400000000000002E-2</v>
          </cell>
          <cell r="DJ53">
            <v>2.0899999999999998E-2</v>
          </cell>
          <cell r="DK53">
            <v>2.1499999999999998E-2</v>
          </cell>
          <cell r="DL53">
            <v>1.7999999999999999E-2</v>
          </cell>
          <cell r="DM53">
            <v>1.38E-2</v>
          </cell>
          <cell r="DN53">
            <v>1.03E-2</v>
          </cell>
          <cell r="DO53">
            <v>1.21E-2</v>
          </cell>
          <cell r="DP53">
            <v>8.6E-3</v>
          </cell>
          <cell r="DQ53">
            <v>1.38E-2</v>
          </cell>
          <cell r="DR53">
            <v>1.03E-2</v>
          </cell>
          <cell r="DS53">
            <v>1.21E-2</v>
          </cell>
          <cell r="DT53">
            <v>8.6E-3</v>
          </cell>
          <cell r="DU53">
            <v>9.9799999999999993E-3</v>
          </cell>
          <cell r="DV53">
            <v>6.1199999999999996E-3</v>
          </cell>
          <cell r="DW53">
            <v>8.8500000000000002E-3</v>
          </cell>
          <cell r="DX53">
            <v>4.5399999999999998E-3</v>
          </cell>
          <cell r="DY53">
            <v>1.1010000000000001E-2</v>
          </cell>
          <cell r="DZ53">
            <v>6.8100000000000001E-3</v>
          </cell>
          <cell r="EA53">
            <v>8.2799999999999992E-3</v>
          </cell>
          <cell r="EB53">
            <v>5.1000000000000004E-3</v>
          </cell>
          <cell r="EC53">
            <v>7.3699999999999998E-3</v>
          </cell>
          <cell r="ED53">
            <v>3.7399999999999998E-3</v>
          </cell>
          <cell r="EE53">
            <v>8.2799999999999992E-3</v>
          </cell>
          <cell r="EF53">
            <v>5.1000000000000004E-3</v>
          </cell>
          <cell r="EG53">
            <v>7.3699999999999998E-3</v>
          </cell>
          <cell r="EH53">
            <v>3.7399999999999998E-3</v>
          </cell>
          <cell r="EI53">
            <v>1.83E-2</v>
          </cell>
          <cell r="EJ53">
            <v>1.4800000000000001E-2</v>
          </cell>
          <cell r="EK53">
            <v>1.61E-2</v>
          </cell>
          <cell r="EL53">
            <v>1.26E-2</v>
          </cell>
          <cell r="EM53">
            <v>1.0999999999999999E-2</v>
          </cell>
          <cell r="EN53">
            <v>7.5000000000000006E-3</v>
          </cell>
          <cell r="EO53">
            <v>9.6999999999999986E-3</v>
          </cell>
          <cell r="EP53">
            <v>6.2000000000000006E-3</v>
          </cell>
          <cell r="EQ53">
            <v>1.0999999999999999E-2</v>
          </cell>
          <cell r="ER53">
            <v>7.5000000000000006E-3</v>
          </cell>
          <cell r="ES53">
            <v>9.6999999999999986E-3</v>
          </cell>
          <cell r="ET53">
            <v>6.2000000000000006E-3</v>
          </cell>
          <cell r="EU53">
            <v>9.9799999999999993E-3</v>
          </cell>
          <cell r="EV53">
            <v>6.1199999999999996E-3</v>
          </cell>
          <cell r="EW53">
            <v>8.8500000000000002E-3</v>
          </cell>
          <cell r="EX53">
            <v>4.5399999999999998E-3</v>
          </cell>
          <cell r="EY53">
            <v>1.1010000000000001E-2</v>
          </cell>
          <cell r="EZ53">
            <v>6.8100000000000001E-3</v>
          </cell>
          <cell r="FA53">
            <v>8.2799999999999992E-3</v>
          </cell>
          <cell r="FB53">
            <v>5.1000000000000004E-3</v>
          </cell>
          <cell r="FC53">
            <v>7.3699999999999998E-3</v>
          </cell>
          <cell r="FD53">
            <v>3.7399999999999998E-3</v>
          </cell>
          <cell r="FE53">
            <v>8.2799999999999992E-3</v>
          </cell>
          <cell r="FF53">
            <v>5.1000000000000004E-3</v>
          </cell>
          <cell r="FG53">
            <v>7.3699999999999998E-3</v>
          </cell>
          <cell r="FH53">
            <v>3.7399999999999998E-3</v>
          </cell>
          <cell r="FI53">
            <v>2.76E-2</v>
          </cell>
          <cell r="FJ53">
            <v>2.4E-2</v>
          </cell>
          <cell r="FK53">
            <v>2.47E-2</v>
          </cell>
          <cell r="FL53">
            <v>2.1100000000000001E-2</v>
          </cell>
          <cell r="FM53">
            <v>2.76E-2</v>
          </cell>
          <cell r="FN53">
            <v>2.4E-2</v>
          </cell>
          <cell r="FO53">
            <v>2.47E-2</v>
          </cell>
          <cell r="FP53">
            <v>2.1100000000000001E-2</v>
          </cell>
          <cell r="FQ53">
            <v>2.426E-2</v>
          </cell>
          <cell r="FR53">
            <v>1.9060000000000001E-2</v>
          </cell>
          <cell r="FS53">
            <v>1.8419999999999999E-2</v>
          </cell>
          <cell r="FT53">
            <v>1.257E-2</v>
          </cell>
          <cell r="FU53">
            <v>2.666E-2</v>
          </cell>
          <cell r="FV53">
            <v>1.9720000000000001E-2</v>
          </cell>
          <cell r="FW53">
            <v>2.1010000000000001E-2</v>
          </cell>
          <cell r="FX53">
            <v>1.6459999999999999E-2</v>
          </cell>
          <cell r="FY53">
            <v>1.5810000000000001E-2</v>
          </cell>
          <cell r="FZ53">
            <v>1.082E-2</v>
          </cell>
          <cell r="GA53">
            <v>2.1010000000000001E-2</v>
          </cell>
          <cell r="GB53">
            <v>1.6459999999999999E-2</v>
          </cell>
          <cell r="GC53">
            <v>1.5810000000000001E-2</v>
          </cell>
          <cell r="GD53">
            <v>1.082E-2</v>
          </cell>
          <cell r="GE53">
            <v>2.18E-2</v>
          </cell>
          <cell r="GF53">
            <v>1.9300000000000001E-2</v>
          </cell>
          <cell r="GG53">
            <v>1.9799999999999998E-2</v>
          </cell>
          <cell r="GH53">
            <v>1.6299999999999999E-2</v>
          </cell>
          <cell r="GI53">
            <v>2.18E-2</v>
          </cell>
          <cell r="GJ53">
            <v>1.9300000000000001E-2</v>
          </cell>
          <cell r="GK53">
            <v>1.9799999999999998E-2</v>
          </cell>
          <cell r="GL53">
            <v>1.6299999999999999E-2</v>
          </cell>
          <cell r="GM53">
            <v>2.426E-2</v>
          </cell>
          <cell r="GN53">
            <v>1.9060000000000001E-2</v>
          </cell>
          <cell r="GO53">
            <v>1.8419999999999999E-2</v>
          </cell>
          <cell r="GP53">
            <v>1.257E-2</v>
          </cell>
          <cell r="GQ53">
            <v>2.666E-2</v>
          </cell>
          <cell r="GR53">
            <v>1.9720000000000001E-2</v>
          </cell>
          <cell r="GS53">
            <v>2.1270000000000001E-2</v>
          </cell>
          <cell r="GT53">
            <v>1.5820000000000001E-2</v>
          </cell>
          <cell r="GU53">
            <v>1.601E-2</v>
          </cell>
          <cell r="GV53">
            <v>1.0529999999999999E-2</v>
          </cell>
          <cell r="GW53">
            <v>2.1270000000000001E-2</v>
          </cell>
          <cell r="GX53">
            <v>1.5820000000000001E-2</v>
          </cell>
          <cell r="GY53">
            <v>1.601E-2</v>
          </cell>
          <cell r="GZ53">
            <v>1.0529999999999999E-2</v>
          </cell>
          <cell r="HA53">
            <v>2.18E-2</v>
          </cell>
          <cell r="HB53">
            <v>1.9300000000000001E-2</v>
          </cell>
          <cell r="HC53">
            <v>1.9799999999999998E-2</v>
          </cell>
          <cell r="HD53">
            <v>1.6299999999999999E-2</v>
          </cell>
          <cell r="HE53">
            <v>2.18E-2</v>
          </cell>
          <cell r="HF53">
            <v>1.9300000000000001E-2</v>
          </cell>
          <cell r="HG53">
            <v>1.9799999999999998E-2</v>
          </cell>
          <cell r="HH53">
            <v>1.6299999999999999E-2</v>
          </cell>
          <cell r="HI53">
            <v>2.4340000000000001E-2</v>
          </cell>
          <cell r="HJ53">
            <v>1.7979999999999999E-2</v>
          </cell>
          <cell r="HK53">
            <v>1.8429999999999998E-2</v>
          </cell>
          <cell r="HL53">
            <v>1.1849999999999999E-2</v>
          </cell>
          <cell r="HM53">
            <v>2.6980000000000001E-2</v>
          </cell>
          <cell r="HN53">
            <v>1.8870000000000001E-2</v>
          </cell>
          <cell r="HO53">
            <v>2.1270000000000001E-2</v>
          </cell>
          <cell r="HP53">
            <v>1.5570000000000001E-2</v>
          </cell>
          <cell r="HQ53">
            <v>1.602E-2</v>
          </cell>
          <cell r="HR53">
            <v>1.0529999999999999E-2</v>
          </cell>
          <cell r="HS53">
            <v>2.1270000000000001E-2</v>
          </cell>
          <cell r="HT53">
            <v>1.5570000000000001E-2</v>
          </cell>
          <cell r="HU53">
            <v>1.602E-2</v>
          </cell>
          <cell r="HV53">
            <v>1.0529999999999999E-2</v>
          </cell>
          <cell r="HW53" t="str">
            <v>%PPL</v>
          </cell>
        </row>
        <row r="54">
          <cell r="AV54" t="str">
            <v>7750 SR-s Bundles</v>
          </cell>
          <cell r="AW54">
            <v>0.73</v>
          </cell>
          <cell r="AX54">
            <v>0.7</v>
          </cell>
          <cell r="AY54">
            <v>0.73</v>
          </cell>
          <cell r="AZ54">
            <v>0.75</v>
          </cell>
          <cell r="BA54">
            <v>0.71299999999999997</v>
          </cell>
          <cell r="BB54">
            <v>0.75</v>
          </cell>
          <cell r="BC54">
            <v>0.75</v>
          </cell>
          <cell r="BD54">
            <v>0.71299999999999997</v>
          </cell>
          <cell r="BE54">
            <v>0.75</v>
          </cell>
          <cell r="BF54">
            <v>0.75</v>
          </cell>
          <cell r="BG54">
            <v>0.7</v>
          </cell>
          <cell r="BH54">
            <v>0.75</v>
          </cell>
          <cell r="BI54">
            <v>0.75</v>
          </cell>
          <cell r="BJ54">
            <v>0.6</v>
          </cell>
          <cell r="BK54">
            <v>2.5000000000000001E-2</v>
          </cell>
          <cell r="BL54" t="str">
            <v>%PMP</v>
          </cell>
          <cell r="BM54">
            <v>1.83E-2</v>
          </cell>
          <cell r="BN54">
            <v>1.4800000000000001E-2</v>
          </cell>
          <cell r="BO54">
            <v>1.5299999999999999E-2</v>
          </cell>
          <cell r="BP54">
            <v>1.18E-2</v>
          </cell>
          <cell r="BQ54">
            <v>1.83E-2</v>
          </cell>
          <cell r="BR54">
            <v>1.4800000000000001E-2</v>
          </cell>
          <cell r="BS54">
            <v>1.5299999999999999E-2</v>
          </cell>
          <cell r="BT54">
            <v>1.18E-2</v>
          </cell>
          <cell r="BU54">
            <v>1.2699999999999999E-2</v>
          </cell>
          <cell r="BV54">
            <v>6.6674999999999998E-3</v>
          </cell>
          <cell r="BW54">
            <v>9.6200000000000001E-3</v>
          </cell>
          <cell r="BX54">
            <v>3.8661509433962271E-3</v>
          </cell>
          <cell r="BY54">
            <v>1.397E-2</v>
          </cell>
          <cell r="BZ54">
            <v>7.8581250000000005E-3</v>
          </cell>
          <cell r="CA54">
            <v>1.0160000000000001E-2</v>
          </cell>
          <cell r="CB54">
            <v>5.3299999999999997E-3</v>
          </cell>
          <cell r="CC54">
            <v>7.6899999999999998E-3</v>
          </cell>
          <cell r="CD54">
            <v>3.0899999999999999E-3</v>
          </cell>
          <cell r="CE54">
            <v>1.0160000000000001E-2</v>
          </cell>
          <cell r="CF54">
            <v>5.3299999999999997E-3</v>
          </cell>
          <cell r="CG54">
            <v>7.6899999999999998E-3</v>
          </cell>
          <cell r="CH54">
            <v>3.0899999999999999E-3</v>
          </cell>
          <cell r="CI54">
            <v>2.3900000000000001E-2</v>
          </cell>
          <cell r="CJ54">
            <v>2.0399999999999998E-2</v>
          </cell>
          <cell r="CK54">
            <v>2.1700000000000001E-2</v>
          </cell>
          <cell r="CL54">
            <v>1.8200000000000001E-2</v>
          </cell>
          <cell r="CM54">
            <v>2.3900000000000001E-2</v>
          </cell>
          <cell r="CN54">
            <v>2.0399999999999998E-2</v>
          </cell>
          <cell r="CO54">
            <v>2.1700000000000001E-2</v>
          </cell>
          <cell r="CP54">
            <v>1.8200000000000001E-2</v>
          </cell>
          <cell r="CQ54">
            <v>1.1204909638189858E-2</v>
          </cell>
          <cell r="CR54">
            <v>5.5675951002205609E-3</v>
          </cell>
          <cell r="CS54">
            <v>9.6113224896473004E-3</v>
          </cell>
          <cell r="CT54">
            <v>3.8544889155373114E-3</v>
          </cell>
          <cell r="CU54">
            <v>1.233038056184804E-2</v>
          </cell>
          <cell r="CV54">
            <v>6.5635870680596595E-3</v>
          </cell>
          <cell r="CW54">
            <v>8.9639277105518864E-3</v>
          </cell>
          <cell r="CX54">
            <v>4.5018836946327245E-3</v>
          </cell>
          <cell r="CY54">
            <v>7.6591782326826674E-3</v>
          </cell>
          <cell r="CZ54">
            <v>3.0776151806228141E-3</v>
          </cell>
          <cell r="DA54">
            <v>8.9639277105518864E-3</v>
          </cell>
          <cell r="DB54">
            <v>4.5018836946327245E-3</v>
          </cell>
          <cell r="DC54">
            <v>7.6591782326826674E-3</v>
          </cell>
          <cell r="DD54">
            <v>3.0776151806228141E-3</v>
          </cell>
          <cell r="DE54">
            <v>1.2699999999999999E-2</v>
          </cell>
          <cell r="DF54">
            <v>8.6599999999999993E-3</v>
          </cell>
          <cell r="DG54">
            <v>1.1135507246376811E-2</v>
          </cell>
          <cell r="DH54">
            <v>7.9144927536231886E-3</v>
          </cell>
          <cell r="DI54">
            <v>2.4400000000000002E-2</v>
          </cell>
          <cell r="DJ54">
            <v>2.0899999999999998E-2</v>
          </cell>
          <cell r="DK54">
            <v>2.1499999999999998E-2</v>
          </cell>
          <cell r="DL54">
            <v>1.7999999999999999E-2</v>
          </cell>
          <cell r="DM54">
            <v>1.38E-2</v>
          </cell>
          <cell r="DN54">
            <v>1.03E-2</v>
          </cell>
          <cell r="DO54">
            <v>1.21E-2</v>
          </cell>
          <cell r="DP54">
            <v>8.6E-3</v>
          </cell>
          <cell r="DQ54">
            <v>1.38E-2</v>
          </cell>
          <cell r="DR54">
            <v>1.03E-2</v>
          </cell>
          <cell r="DS54">
            <v>1.21E-2</v>
          </cell>
          <cell r="DT54">
            <v>8.6E-3</v>
          </cell>
          <cell r="DU54">
            <v>9.9799999999999993E-3</v>
          </cell>
          <cell r="DV54">
            <v>6.1199999999999996E-3</v>
          </cell>
          <cell r="DW54">
            <v>8.8500000000000002E-3</v>
          </cell>
          <cell r="DX54">
            <v>4.5399999999999998E-3</v>
          </cell>
          <cell r="DY54">
            <v>1.1010000000000001E-2</v>
          </cell>
          <cell r="DZ54">
            <v>6.8100000000000001E-3</v>
          </cell>
          <cell r="EA54">
            <v>8.2799999999999992E-3</v>
          </cell>
          <cell r="EB54">
            <v>5.1000000000000004E-3</v>
          </cell>
          <cell r="EC54">
            <v>7.3699999999999998E-3</v>
          </cell>
          <cell r="ED54">
            <v>3.7399999999999998E-3</v>
          </cell>
          <cell r="EE54">
            <v>8.2799999999999992E-3</v>
          </cell>
          <cell r="EF54">
            <v>5.1000000000000004E-3</v>
          </cell>
          <cell r="EG54">
            <v>7.3699999999999998E-3</v>
          </cell>
          <cell r="EH54">
            <v>3.7399999999999998E-3</v>
          </cell>
          <cell r="EI54">
            <v>1.83E-2</v>
          </cell>
          <cell r="EJ54">
            <v>1.4800000000000001E-2</v>
          </cell>
          <cell r="EK54">
            <v>1.61E-2</v>
          </cell>
          <cell r="EL54">
            <v>1.26E-2</v>
          </cell>
          <cell r="EM54">
            <v>1.0999999999999999E-2</v>
          </cell>
          <cell r="EN54">
            <v>7.5000000000000006E-3</v>
          </cell>
          <cell r="EO54">
            <v>9.6999999999999986E-3</v>
          </cell>
          <cell r="EP54">
            <v>6.2000000000000006E-3</v>
          </cell>
          <cell r="EQ54">
            <v>1.0999999999999999E-2</v>
          </cell>
          <cell r="ER54">
            <v>7.5000000000000006E-3</v>
          </cell>
          <cell r="ES54">
            <v>9.6999999999999986E-3</v>
          </cell>
          <cell r="ET54">
            <v>6.2000000000000006E-3</v>
          </cell>
          <cell r="EU54">
            <v>9.9799999999999993E-3</v>
          </cell>
          <cell r="EV54">
            <v>6.1199999999999996E-3</v>
          </cell>
          <cell r="EW54">
            <v>8.8500000000000002E-3</v>
          </cell>
          <cell r="EX54">
            <v>4.5399999999999998E-3</v>
          </cell>
          <cell r="EY54">
            <v>1.1010000000000001E-2</v>
          </cell>
          <cell r="EZ54">
            <v>6.8100000000000001E-3</v>
          </cell>
          <cell r="FA54">
            <v>8.2799999999999992E-3</v>
          </cell>
          <cell r="FB54">
            <v>5.1000000000000004E-3</v>
          </cell>
          <cell r="FC54">
            <v>7.3699999999999998E-3</v>
          </cell>
          <cell r="FD54">
            <v>3.7399999999999998E-3</v>
          </cell>
          <cell r="FE54">
            <v>8.2799999999999992E-3</v>
          </cell>
          <cell r="FF54">
            <v>5.1000000000000004E-3</v>
          </cell>
          <cell r="FG54">
            <v>7.3699999999999998E-3</v>
          </cell>
          <cell r="FH54">
            <v>3.7399999999999998E-3</v>
          </cell>
          <cell r="FI54">
            <v>2.76E-2</v>
          </cell>
          <cell r="FJ54">
            <v>2.4E-2</v>
          </cell>
          <cell r="FK54">
            <v>2.47E-2</v>
          </cell>
          <cell r="FL54">
            <v>2.1100000000000001E-2</v>
          </cell>
          <cell r="FM54">
            <v>2.76E-2</v>
          </cell>
          <cell r="FN54">
            <v>2.4E-2</v>
          </cell>
          <cell r="FO54">
            <v>2.47E-2</v>
          </cell>
          <cell r="FP54">
            <v>2.1100000000000001E-2</v>
          </cell>
          <cell r="FQ54">
            <v>2.426E-2</v>
          </cell>
          <cell r="FR54">
            <v>1.9060000000000001E-2</v>
          </cell>
          <cell r="FS54">
            <v>1.8419999999999999E-2</v>
          </cell>
          <cell r="FT54">
            <v>1.257E-2</v>
          </cell>
          <cell r="FU54">
            <v>2.666E-2</v>
          </cell>
          <cell r="FV54">
            <v>1.9720000000000001E-2</v>
          </cell>
          <cell r="FW54">
            <v>2.1010000000000001E-2</v>
          </cell>
          <cell r="FX54">
            <v>1.6459999999999999E-2</v>
          </cell>
          <cell r="FY54">
            <v>1.5810000000000001E-2</v>
          </cell>
          <cell r="FZ54">
            <v>1.082E-2</v>
          </cell>
          <cell r="GA54">
            <v>2.1010000000000001E-2</v>
          </cell>
          <cell r="GB54">
            <v>1.6459999999999999E-2</v>
          </cell>
          <cell r="GC54">
            <v>1.5810000000000001E-2</v>
          </cell>
          <cell r="GD54">
            <v>1.082E-2</v>
          </cell>
          <cell r="GE54">
            <v>2.18E-2</v>
          </cell>
          <cell r="GF54">
            <v>1.9300000000000001E-2</v>
          </cell>
          <cell r="GG54">
            <v>1.9799999999999998E-2</v>
          </cell>
          <cell r="GH54">
            <v>1.6299999999999999E-2</v>
          </cell>
          <cell r="GI54">
            <v>2.18E-2</v>
          </cell>
          <cell r="GJ54">
            <v>1.9300000000000001E-2</v>
          </cell>
          <cell r="GK54">
            <v>1.9799999999999998E-2</v>
          </cell>
          <cell r="GL54">
            <v>1.6299999999999999E-2</v>
          </cell>
          <cell r="GM54">
            <v>2.426E-2</v>
          </cell>
          <cell r="GN54">
            <v>1.9060000000000001E-2</v>
          </cell>
          <cell r="GO54">
            <v>1.8419999999999999E-2</v>
          </cell>
          <cell r="GP54">
            <v>1.257E-2</v>
          </cell>
          <cell r="GQ54">
            <v>2.666E-2</v>
          </cell>
          <cell r="GR54">
            <v>1.9720000000000001E-2</v>
          </cell>
          <cell r="GS54">
            <v>2.1270000000000001E-2</v>
          </cell>
          <cell r="GT54">
            <v>1.5820000000000001E-2</v>
          </cell>
          <cell r="GU54">
            <v>1.601E-2</v>
          </cell>
          <cell r="GV54">
            <v>1.0529999999999999E-2</v>
          </cell>
          <cell r="GW54">
            <v>2.1270000000000001E-2</v>
          </cell>
          <cell r="GX54">
            <v>1.5820000000000001E-2</v>
          </cell>
          <cell r="GY54">
            <v>1.601E-2</v>
          </cell>
          <cell r="GZ54">
            <v>1.0529999999999999E-2</v>
          </cell>
          <cell r="HA54">
            <v>2.18E-2</v>
          </cell>
          <cell r="HB54">
            <v>1.9300000000000001E-2</v>
          </cell>
          <cell r="HC54">
            <v>1.9799999999999998E-2</v>
          </cell>
          <cell r="HD54">
            <v>1.6299999999999999E-2</v>
          </cell>
          <cell r="HE54">
            <v>2.18E-2</v>
          </cell>
          <cell r="HF54">
            <v>1.9300000000000001E-2</v>
          </cell>
          <cell r="HG54">
            <v>1.9799999999999998E-2</v>
          </cell>
          <cell r="HH54">
            <v>1.6299999999999999E-2</v>
          </cell>
          <cell r="HI54">
            <v>2.4340000000000001E-2</v>
          </cell>
          <cell r="HJ54">
            <v>1.7979999999999999E-2</v>
          </cell>
          <cell r="HK54">
            <v>1.8429999999999998E-2</v>
          </cell>
          <cell r="HL54">
            <v>1.1849999999999999E-2</v>
          </cell>
          <cell r="HM54">
            <v>2.6980000000000001E-2</v>
          </cell>
          <cell r="HN54">
            <v>1.8870000000000001E-2</v>
          </cell>
          <cell r="HO54">
            <v>2.1270000000000001E-2</v>
          </cell>
          <cell r="HP54">
            <v>1.5570000000000001E-2</v>
          </cell>
          <cell r="HQ54">
            <v>1.602E-2</v>
          </cell>
          <cell r="HR54">
            <v>1.0529999999999999E-2</v>
          </cell>
          <cell r="HS54">
            <v>2.1270000000000001E-2</v>
          </cell>
          <cell r="HT54">
            <v>1.5570000000000001E-2</v>
          </cell>
          <cell r="HU54">
            <v>1.602E-2</v>
          </cell>
          <cell r="HV54">
            <v>1.0529999999999999E-2</v>
          </cell>
          <cell r="HW54" t="str">
            <v>%PPL</v>
          </cell>
        </row>
        <row r="55">
          <cell r="AV55" t="str">
            <v>7750 SR-s Common Equipment</v>
          </cell>
          <cell r="AW55">
            <v>0.73</v>
          </cell>
          <cell r="AX55">
            <v>0.7</v>
          </cell>
          <cell r="AY55">
            <v>0.73</v>
          </cell>
          <cell r="AZ55">
            <v>0.75</v>
          </cell>
          <cell r="BA55">
            <v>0.71299999999999997</v>
          </cell>
          <cell r="BB55">
            <v>0.75</v>
          </cell>
          <cell r="BC55">
            <v>0.75</v>
          </cell>
          <cell r="BD55">
            <v>0.71299999999999997</v>
          </cell>
          <cell r="BE55">
            <v>0.75</v>
          </cell>
          <cell r="BF55">
            <v>0.75</v>
          </cell>
          <cell r="BG55">
            <v>0.7</v>
          </cell>
          <cell r="BH55">
            <v>0.75</v>
          </cell>
          <cell r="BI55">
            <v>0.77</v>
          </cell>
          <cell r="BJ55">
            <v>0.6</v>
          </cell>
          <cell r="BK55">
            <v>2.5000000000000001E-2</v>
          </cell>
          <cell r="BL55" t="str">
            <v>%PMP</v>
          </cell>
          <cell r="BM55">
            <v>1.83E-2</v>
          </cell>
          <cell r="BN55">
            <v>1.4800000000000001E-2</v>
          </cell>
          <cell r="BO55">
            <v>1.5299999999999999E-2</v>
          </cell>
          <cell r="BP55">
            <v>1.18E-2</v>
          </cell>
          <cell r="BQ55">
            <v>1.83E-2</v>
          </cell>
          <cell r="BR55">
            <v>1.4800000000000001E-2</v>
          </cell>
          <cell r="BS55">
            <v>1.5299999999999999E-2</v>
          </cell>
          <cell r="BT55">
            <v>1.18E-2</v>
          </cell>
          <cell r="BU55">
            <v>1.2699999999999999E-2</v>
          </cell>
          <cell r="BV55">
            <v>6.6674999999999998E-3</v>
          </cell>
          <cell r="BW55">
            <v>9.6200000000000001E-3</v>
          </cell>
          <cell r="BX55">
            <v>3.8661509433962271E-3</v>
          </cell>
          <cell r="BY55">
            <v>1.397E-2</v>
          </cell>
          <cell r="BZ55">
            <v>7.8581250000000005E-3</v>
          </cell>
          <cell r="CA55">
            <v>1.0160000000000001E-2</v>
          </cell>
          <cell r="CB55">
            <v>5.3299999999999997E-3</v>
          </cell>
          <cell r="CC55">
            <v>7.6899999999999998E-3</v>
          </cell>
          <cell r="CD55">
            <v>3.0899999999999999E-3</v>
          </cell>
          <cell r="CE55">
            <v>1.0160000000000001E-2</v>
          </cell>
          <cell r="CF55">
            <v>5.3299999999999997E-3</v>
          </cell>
          <cell r="CG55">
            <v>7.6899999999999998E-3</v>
          </cell>
          <cell r="CH55">
            <v>3.0899999999999999E-3</v>
          </cell>
          <cell r="CI55">
            <v>2.3900000000000001E-2</v>
          </cell>
          <cell r="CJ55">
            <v>2.0399999999999998E-2</v>
          </cell>
          <cell r="CK55">
            <v>2.1700000000000001E-2</v>
          </cell>
          <cell r="CL55">
            <v>1.8200000000000001E-2</v>
          </cell>
          <cell r="CM55">
            <v>2.3900000000000001E-2</v>
          </cell>
          <cell r="CN55">
            <v>2.0399999999999998E-2</v>
          </cell>
          <cell r="CO55">
            <v>2.1700000000000001E-2</v>
          </cell>
          <cell r="CP55">
            <v>1.8200000000000001E-2</v>
          </cell>
          <cell r="CQ55">
            <v>1.1204909638189858E-2</v>
          </cell>
          <cell r="CR55">
            <v>5.5675951002205609E-3</v>
          </cell>
          <cell r="CS55">
            <v>9.6113224896473004E-3</v>
          </cell>
          <cell r="CT55">
            <v>3.8544889155373114E-3</v>
          </cell>
          <cell r="CU55">
            <v>1.233038056184804E-2</v>
          </cell>
          <cell r="CV55">
            <v>6.5635870680596595E-3</v>
          </cell>
          <cell r="CW55">
            <v>8.9639277105518864E-3</v>
          </cell>
          <cell r="CX55">
            <v>4.5018836946327245E-3</v>
          </cell>
          <cell r="CY55">
            <v>7.6591782326826674E-3</v>
          </cell>
          <cell r="CZ55">
            <v>3.0776151806228141E-3</v>
          </cell>
          <cell r="DA55">
            <v>8.9639277105518864E-3</v>
          </cell>
          <cell r="DB55">
            <v>4.5018836946327245E-3</v>
          </cell>
          <cell r="DC55">
            <v>7.6591782326826674E-3</v>
          </cell>
          <cell r="DD55">
            <v>3.0776151806228141E-3</v>
          </cell>
          <cell r="DE55">
            <v>1.2699999999999999E-2</v>
          </cell>
          <cell r="DF55">
            <v>8.6599999999999993E-3</v>
          </cell>
          <cell r="DG55">
            <v>1.1135507246376811E-2</v>
          </cell>
          <cell r="DH55">
            <v>7.9144927536231886E-3</v>
          </cell>
          <cell r="DI55">
            <v>2.4400000000000002E-2</v>
          </cell>
          <cell r="DJ55">
            <v>2.0899999999999998E-2</v>
          </cell>
          <cell r="DK55">
            <v>2.1499999999999998E-2</v>
          </cell>
          <cell r="DL55">
            <v>1.7999999999999999E-2</v>
          </cell>
          <cell r="DM55">
            <v>1.38E-2</v>
          </cell>
          <cell r="DN55">
            <v>1.03E-2</v>
          </cell>
          <cell r="DO55">
            <v>1.21E-2</v>
          </cell>
          <cell r="DP55">
            <v>8.6E-3</v>
          </cell>
          <cell r="DQ55">
            <v>1.38E-2</v>
          </cell>
          <cell r="DR55">
            <v>1.03E-2</v>
          </cell>
          <cell r="DS55">
            <v>1.21E-2</v>
          </cell>
          <cell r="DT55">
            <v>8.6E-3</v>
          </cell>
          <cell r="DU55">
            <v>9.9799999999999993E-3</v>
          </cell>
          <cell r="DV55">
            <v>6.1199999999999996E-3</v>
          </cell>
          <cell r="DW55">
            <v>8.8500000000000002E-3</v>
          </cell>
          <cell r="DX55">
            <v>4.5399999999999998E-3</v>
          </cell>
          <cell r="DY55">
            <v>1.1010000000000001E-2</v>
          </cell>
          <cell r="DZ55">
            <v>6.8100000000000001E-3</v>
          </cell>
          <cell r="EA55">
            <v>8.2799999999999992E-3</v>
          </cell>
          <cell r="EB55">
            <v>5.1000000000000004E-3</v>
          </cell>
          <cell r="EC55">
            <v>7.3699999999999998E-3</v>
          </cell>
          <cell r="ED55">
            <v>3.7399999999999998E-3</v>
          </cell>
          <cell r="EE55">
            <v>8.2799999999999992E-3</v>
          </cell>
          <cell r="EF55">
            <v>5.1000000000000004E-3</v>
          </cell>
          <cell r="EG55">
            <v>7.3699999999999998E-3</v>
          </cell>
          <cell r="EH55">
            <v>3.7399999999999998E-3</v>
          </cell>
          <cell r="EI55">
            <v>1.83E-2</v>
          </cell>
          <cell r="EJ55">
            <v>1.4800000000000001E-2</v>
          </cell>
          <cell r="EK55">
            <v>1.61E-2</v>
          </cell>
          <cell r="EL55">
            <v>1.26E-2</v>
          </cell>
          <cell r="EM55">
            <v>1.0999999999999999E-2</v>
          </cell>
          <cell r="EN55">
            <v>7.5000000000000006E-3</v>
          </cell>
          <cell r="EO55">
            <v>9.6999999999999986E-3</v>
          </cell>
          <cell r="EP55">
            <v>6.2000000000000006E-3</v>
          </cell>
          <cell r="EQ55">
            <v>1.0999999999999999E-2</v>
          </cell>
          <cell r="ER55">
            <v>7.5000000000000006E-3</v>
          </cell>
          <cell r="ES55">
            <v>9.6999999999999986E-3</v>
          </cell>
          <cell r="ET55">
            <v>6.2000000000000006E-3</v>
          </cell>
          <cell r="EU55">
            <v>9.9799999999999993E-3</v>
          </cell>
          <cell r="EV55">
            <v>6.1199999999999996E-3</v>
          </cell>
          <cell r="EW55">
            <v>8.8500000000000002E-3</v>
          </cell>
          <cell r="EX55">
            <v>4.5399999999999998E-3</v>
          </cell>
          <cell r="EY55">
            <v>1.1010000000000001E-2</v>
          </cell>
          <cell r="EZ55">
            <v>6.8100000000000001E-3</v>
          </cell>
          <cell r="FA55">
            <v>8.2799999999999992E-3</v>
          </cell>
          <cell r="FB55">
            <v>5.1000000000000004E-3</v>
          </cell>
          <cell r="FC55">
            <v>7.3699999999999998E-3</v>
          </cell>
          <cell r="FD55">
            <v>3.7399999999999998E-3</v>
          </cell>
          <cell r="FE55">
            <v>8.2799999999999992E-3</v>
          </cell>
          <cell r="FF55">
            <v>5.1000000000000004E-3</v>
          </cell>
          <cell r="FG55">
            <v>7.3699999999999998E-3</v>
          </cell>
          <cell r="FH55">
            <v>3.7399999999999998E-3</v>
          </cell>
          <cell r="FI55">
            <v>2.76E-2</v>
          </cell>
          <cell r="FJ55">
            <v>2.4E-2</v>
          </cell>
          <cell r="FK55">
            <v>2.47E-2</v>
          </cell>
          <cell r="FL55">
            <v>2.1100000000000001E-2</v>
          </cell>
          <cell r="FM55">
            <v>2.76E-2</v>
          </cell>
          <cell r="FN55">
            <v>2.4E-2</v>
          </cell>
          <cell r="FO55">
            <v>2.47E-2</v>
          </cell>
          <cell r="FP55">
            <v>2.1100000000000001E-2</v>
          </cell>
          <cell r="FQ55">
            <v>2.426E-2</v>
          </cell>
          <cell r="FR55">
            <v>1.9060000000000001E-2</v>
          </cell>
          <cell r="FS55">
            <v>1.8419999999999999E-2</v>
          </cell>
          <cell r="FT55">
            <v>1.257E-2</v>
          </cell>
          <cell r="FU55">
            <v>2.666E-2</v>
          </cell>
          <cell r="FV55">
            <v>1.9720000000000001E-2</v>
          </cell>
          <cell r="FW55">
            <v>2.1010000000000001E-2</v>
          </cell>
          <cell r="FX55">
            <v>1.6459999999999999E-2</v>
          </cell>
          <cell r="FY55">
            <v>1.5810000000000001E-2</v>
          </cell>
          <cell r="FZ55">
            <v>1.082E-2</v>
          </cell>
          <cell r="GA55">
            <v>2.1010000000000001E-2</v>
          </cell>
          <cell r="GB55">
            <v>1.6459999999999999E-2</v>
          </cell>
          <cell r="GC55">
            <v>1.5810000000000001E-2</v>
          </cell>
          <cell r="GD55">
            <v>1.082E-2</v>
          </cell>
          <cell r="GE55">
            <v>2.18E-2</v>
          </cell>
          <cell r="GF55">
            <v>1.9300000000000001E-2</v>
          </cell>
          <cell r="GG55">
            <v>1.9799999999999998E-2</v>
          </cell>
          <cell r="GH55">
            <v>1.6299999999999999E-2</v>
          </cell>
          <cell r="GI55">
            <v>2.18E-2</v>
          </cell>
          <cell r="GJ55">
            <v>1.9300000000000001E-2</v>
          </cell>
          <cell r="GK55">
            <v>1.9799999999999998E-2</v>
          </cell>
          <cell r="GL55">
            <v>1.6299999999999999E-2</v>
          </cell>
          <cell r="GM55">
            <v>2.426E-2</v>
          </cell>
          <cell r="GN55">
            <v>1.9060000000000001E-2</v>
          </cell>
          <cell r="GO55">
            <v>1.8419999999999999E-2</v>
          </cell>
          <cell r="GP55">
            <v>1.257E-2</v>
          </cell>
          <cell r="GQ55">
            <v>2.666E-2</v>
          </cell>
          <cell r="GR55">
            <v>1.9720000000000001E-2</v>
          </cell>
          <cell r="GS55">
            <v>2.1270000000000001E-2</v>
          </cell>
          <cell r="GT55">
            <v>1.5820000000000001E-2</v>
          </cell>
          <cell r="GU55">
            <v>1.601E-2</v>
          </cell>
          <cell r="GV55">
            <v>1.0529999999999999E-2</v>
          </cell>
          <cell r="GW55">
            <v>2.1270000000000001E-2</v>
          </cell>
          <cell r="GX55">
            <v>1.5820000000000001E-2</v>
          </cell>
          <cell r="GY55">
            <v>1.601E-2</v>
          </cell>
          <cell r="GZ55">
            <v>1.0529999999999999E-2</v>
          </cell>
          <cell r="HA55">
            <v>2.18E-2</v>
          </cell>
          <cell r="HB55">
            <v>1.9300000000000001E-2</v>
          </cell>
          <cell r="HC55">
            <v>1.9799999999999998E-2</v>
          </cell>
          <cell r="HD55">
            <v>1.6299999999999999E-2</v>
          </cell>
          <cell r="HE55">
            <v>2.18E-2</v>
          </cell>
          <cell r="HF55">
            <v>1.9300000000000001E-2</v>
          </cell>
          <cell r="HG55">
            <v>1.9799999999999998E-2</v>
          </cell>
          <cell r="HH55">
            <v>1.6299999999999999E-2</v>
          </cell>
          <cell r="HI55">
            <v>2.4340000000000001E-2</v>
          </cell>
          <cell r="HJ55">
            <v>1.7979999999999999E-2</v>
          </cell>
          <cell r="HK55">
            <v>1.8429999999999998E-2</v>
          </cell>
          <cell r="HL55">
            <v>1.1849999999999999E-2</v>
          </cell>
          <cell r="HM55">
            <v>2.6980000000000001E-2</v>
          </cell>
          <cell r="HN55">
            <v>1.8870000000000001E-2</v>
          </cell>
          <cell r="HO55">
            <v>2.1270000000000001E-2</v>
          </cell>
          <cell r="HP55">
            <v>1.5570000000000001E-2</v>
          </cell>
          <cell r="HQ55">
            <v>1.602E-2</v>
          </cell>
          <cell r="HR55">
            <v>1.0529999999999999E-2</v>
          </cell>
          <cell r="HS55">
            <v>2.1270000000000001E-2</v>
          </cell>
          <cell r="HT55">
            <v>1.5570000000000001E-2</v>
          </cell>
          <cell r="HU55">
            <v>1.602E-2</v>
          </cell>
          <cell r="HV55">
            <v>1.0529999999999999E-2</v>
          </cell>
          <cell r="HW55" t="str">
            <v>%PPL</v>
          </cell>
        </row>
        <row r="56">
          <cell r="AV56" t="str">
            <v>7750 SR-s IOM-s CR</v>
          </cell>
          <cell r="AW56">
            <v>0.73</v>
          </cell>
          <cell r="AX56">
            <v>0.7</v>
          </cell>
          <cell r="AY56">
            <v>0.73</v>
          </cell>
          <cell r="AZ56">
            <v>0.75</v>
          </cell>
          <cell r="BA56">
            <v>0.71299999999999997</v>
          </cell>
          <cell r="BB56">
            <v>0.75</v>
          </cell>
          <cell r="BC56">
            <v>0.75</v>
          </cell>
          <cell r="BD56">
            <v>0.71299999999999997</v>
          </cell>
          <cell r="BE56">
            <v>0.75</v>
          </cell>
          <cell r="BF56">
            <v>0.78</v>
          </cell>
          <cell r="BG56">
            <v>0.75</v>
          </cell>
          <cell r="BH56">
            <v>0.75</v>
          </cell>
          <cell r="BI56">
            <v>0.77</v>
          </cell>
          <cell r="BJ56">
            <v>0.6</v>
          </cell>
          <cell r="BK56">
            <v>2.5000000000000001E-2</v>
          </cell>
          <cell r="BL56" t="str">
            <v>%PMP</v>
          </cell>
          <cell r="BM56">
            <v>1.83E-2</v>
          </cell>
          <cell r="BN56">
            <v>1.4800000000000001E-2</v>
          </cell>
          <cell r="BO56">
            <v>1.5299999999999999E-2</v>
          </cell>
          <cell r="BP56">
            <v>1.18E-2</v>
          </cell>
          <cell r="BQ56">
            <v>1.83E-2</v>
          </cell>
          <cell r="BR56">
            <v>1.4800000000000001E-2</v>
          </cell>
          <cell r="BS56">
            <v>1.5299999999999999E-2</v>
          </cell>
          <cell r="BT56">
            <v>1.18E-2</v>
          </cell>
          <cell r="BU56">
            <v>1.2699999999999999E-2</v>
          </cell>
          <cell r="BV56">
            <v>6.6674999999999998E-3</v>
          </cell>
          <cell r="BW56">
            <v>9.6200000000000001E-3</v>
          </cell>
          <cell r="BX56">
            <v>3.8661509433962271E-3</v>
          </cell>
          <cell r="BY56">
            <v>1.397E-2</v>
          </cell>
          <cell r="BZ56">
            <v>7.8581250000000005E-3</v>
          </cell>
          <cell r="CA56">
            <v>1.0160000000000001E-2</v>
          </cell>
          <cell r="CB56">
            <v>5.3299999999999997E-3</v>
          </cell>
          <cell r="CC56">
            <v>7.6899999999999998E-3</v>
          </cell>
          <cell r="CD56">
            <v>3.0899999999999999E-3</v>
          </cell>
          <cell r="CE56">
            <v>1.0160000000000001E-2</v>
          </cell>
          <cell r="CF56">
            <v>5.3299999999999997E-3</v>
          </cell>
          <cell r="CG56">
            <v>7.6899999999999998E-3</v>
          </cell>
          <cell r="CH56">
            <v>3.0899999999999999E-3</v>
          </cell>
          <cell r="CI56">
            <v>2.3900000000000001E-2</v>
          </cell>
          <cell r="CJ56">
            <v>2.0399999999999998E-2</v>
          </cell>
          <cell r="CK56">
            <v>2.1700000000000001E-2</v>
          </cell>
          <cell r="CL56">
            <v>1.8200000000000001E-2</v>
          </cell>
          <cell r="CM56">
            <v>2.3900000000000001E-2</v>
          </cell>
          <cell r="CN56">
            <v>2.0399999999999998E-2</v>
          </cell>
          <cell r="CO56">
            <v>2.1700000000000001E-2</v>
          </cell>
          <cell r="CP56">
            <v>1.8200000000000001E-2</v>
          </cell>
          <cell r="CQ56">
            <v>1.1204909638189858E-2</v>
          </cell>
          <cell r="CR56">
            <v>5.5675951002205609E-3</v>
          </cell>
          <cell r="CS56">
            <v>9.6113224896473004E-3</v>
          </cell>
          <cell r="CT56">
            <v>3.8544889155373114E-3</v>
          </cell>
          <cell r="CU56">
            <v>1.233038056184804E-2</v>
          </cell>
          <cell r="CV56">
            <v>6.5635870680596595E-3</v>
          </cell>
          <cell r="CW56">
            <v>8.9639277105518864E-3</v>
          </cell>
          <cell r="CX56">
            <v>4.5018836946327245E-3</v>
          </cell>
          <cell r="CY56">
            <v>7.6591782326826674E-3</v>
          </cell>
          <cell r="CZ56">
            <v>3.0776151806228141E-3</v>
          </cell>
          <cell r="DA56">
            <v>8.9639277105518864E-3</v>
          </cell>
          <cell r="DB56">
            <v>4.5018836946327245E-3</v>
          </cell>
          <cell r="DC56">
            <v>7.6591782326826674E-3</v>
          </cell>
          <cell r="DD56">
            <v>3.0776151806228141E-3</v>
          </cell>
          <cell r="DE56">
            <v>1.2699999999999999E-2</v>
          </cell>
          <cell r="DF56">
            <v>8.6599999999999993E-3</v>
          </cell>
          <cell r="DG56">
            <v>1.1135507246376811E-2</v>
          </cell>
          <cell r="DH56">
            <v>7.9144927536231886E-3</v>
          </cell>
          <cell r="DI56">
            <v>2.4400000000000002E-2</v>
          </cell>
          <cell r="DJ56">
            <v>2.0899999999999998E-2</v>
          </cell>
          <cell r="DK56">
            <v>2.1499999999999998E-2</v>
          </cell>
          <cell r="DL56">
            <v>1.7999999999999999E-2</v>
          </cell>
          <cell r="DM56">
            <v>1.38E-2</v>
          </cell>
          <cell r="DN56">
            <v>1.03E-2</v>
          </cell>
          <cell r="DO56">
            <v>1.21E-2</v>
          </cell>
          <cell r="DP56">
            <v>8.6E-3</v>
          </cell>
          <cell r="DQ56">
            <v>1.38E-2</v>
          </cell>
          <cell r="DR56">
            <v>1.03E-2</v>
          </cell>
          <cell r="DS56">
            <v>1.21E-2</v>
          </cell>
          <cell r="DT56">
            <v>8.6E-3</v>
          </cell>
          <cell r="DU56">
            <v>9.9799999999999993E-3</v>
          </cell>
          <cell r="DV56">
            <v>6.1199999999999996E-3</v>
          </cell>
          <cell r="DW56">
            <v>8.8500000000000002E-3</v>
          </cell>
          <cell r="DX56">
            <v>4.5399999999999998E-3</v>
          </cell>
          <cell r="DY56">
            <v>1.1010000000000001E-2</v>
          </cell>
          <cell r="DZ56">
            <v>6.8100000000000001E-3</v>
          </cell>
          <cell r="EA56">
            <v>8.2799999999999992E-3</v>
          </cell>
          <cell r="EB56">
            <v>5.1000000000000004E-3</v>
          </cell>
          <cell r="EC56">
            <v>7.3699999999999998E-3</v>
          </cell>
          <cell r="ED56">
            <v>3.7399999999999998E-3</v>
          </cell>
          <cell r="EE56">
            <v>8.2799999999999992E-3</v>
          </cell>
          <cell r="EF56">
            <v>5.1000000000000004E-3</v>
          </cell>
          <cell r="EG56">
            <v>7.3699999999999998E-3</v>
          </cell>
          <cell r="EH56">
            <v>3.7399999999999998E-3</v>
          </cell>
          <cell r="EI56">
            <v>2.4400000000000002E-2</v>
          </cell>
          <cell r="EJ56">
            <v>2.0899999999999998E-2</v>
          </cell>
          <cell r="EK56">
            <v>2.1499999999999998E-2</v>
          </cell>
          <cell r="EL56">
            <v>1.7999999999999999E-2</v>
          </cell>
          <cell r="EM56">
            <v>1.38E-2</v>
          </cell>
          <cell r="EN56">
            <v>1.03E-2</v>
          </cell>
          <cell r="EO56">
            <v>1.21E-2</v>
          </cell>
          <cell r="EP56">
            <v>8.6E-3</v>
          </cell>
          <cell r="EQ56">
            <v>1.38E-2</v>
          </cell>
          <cell r="ER56">
            <v>1.03E-2</v>
          </cell>
          <cell r="ES56">
            <v>1.21E-2</v>
          </cell>
          <cell r="ET56">
            <v>8.6E-3</v>
          </cell>
          <cell r="EU56">
            <v>9.9799999999999993E-3</v>
          </cell>
          <cell r="EV56">
            <v>6.1199999999999996E-3</v>
          </cell>
          <cell r="EW56">
            <v>8.8500000000000002E-3</v>
          </cell>
          <cell r="EX56">
            <v>4.5399999999999998E-3</v>
          </cell>
          <cell r="EY56">
            <v>1.1010000000000001E-2</v>
          </cell>
          <cell r="EZ56">
            <v>6.8100000000000001E-3</v>
          </cell>
          <cell r="FA56">
            <v>8.2799999999999992E-3</v>
          </cell>
          <cell r="FB56">
            <v>5.1000000000000004E-3</v>
          </cell>
          <cell r="FC56">
            <v>7.3699999999999998E-3</v>
          </cell>
          <cell r="FD56">
            <v>3.7399999999999998E-3</v>
          </cell>
          <cell r="FE56">
            <v>8.2799999999999992E-3</v>
          </cell>
          <cell r="FF56">
            <v>5.1000000000000004E-3</v>
          </cell>
          <cell r="FG56">
            <v>7.3699999999999998E-3</v>
          </cell>
          <cell r="FH56">
            <v>3.7399999999999998E-3</v>
          </cell>
          <cell r="FI56">
            <v>2.76E-2</v>
          </cell>
          <cell r="FJ56">
            <v>2.4E-2</v>
          </cell>
          <cell r="FK56">
            <v>2.47E-2</v>
          </cell>
          <cell r="FL56">
            <v>2.1100000000000001E-2</v>
          </cell>
          <cell r="FM56">
            <v>2.76E-2</v>
          </cell>
          <cell r="FN56">
            <v>2.4E-2</v>
          </cell>
          <cell r="FO56">
            <v>2.47E-2</v>
          </cell>
          <cell r="FP56">
            <v>2.1100000000000001E-2</v>
          </cell>
          <cell r="FQ56">
            <v>2.426E-2</v>
          </cell>
          <cell r="FR56">
            <v>1.9060000000000001E-2</v>
          </cell>
          <cell r="FS56">
            <v>1.8419999999999999E-2</v>
          </cell>
          <cell r="FT56">
            <v>1.257E-2</v>
          </cell>
          <cell r="FU56">
            <v>2.666E-2</v>
          </cell>
          <cell r="FV56">
            <v>1.9720000000000001E-2</v>
          </cell>
          <cell r="FW56">
            <v>2.1010000000000001E-2</v>
          </cell>
          <cell r="FX56">
            <v>1.6459999999999999E-2</v>
          </cell>
          <cell r="FY56">
            <v>1.5810000000000001E-2</v>
          </cell>
          <cell r="FZ56">
            <v>1.082E-2</v>
          </cell>
          <cell r="GA56">
            <v>2.1010000000000001E-2</v>
          </cell>
          <cell r="GB56">
            <v>1.6459999999999999E-2</v>
          </cell>
          <cell r="GC56">
            <v>1.5810000000000001E-2</v>
          </cell>
          <cell r="GD56">
            <v>1.082E-2</v>
          </cell>
          <cell r="GE56">
            <v>2.18E-2</v>
          </cell>
          <cell r="GF56">
            <v>1.9300000000000001E-2</v>
          </cell>
          <cell r="GG56">
            <v>1.9799999999999998E-2</v>
          </cell>
          <cell r="GH56">
            <v>1.6299999999999999E-2</v>
          </cell>
          <cell r="GI56">
            <v>2.18E-2</v>
          </cell>
          <cell r="GJ56">
            <v>1.9300000000000001E-2</v>
          </cell>
          <cell r="GK56">
            <v>1.9799999999999998E-2</v>
          </cell>
          <cell r="GL56">
            <v>1.6299999999999999E-2</v>
          </cell>
          <cell r="GM56">
            <v>2.426E-2</v>
          </cell>
          <cell r="GN56">
            <v>1.9060000000000001E-2</v>
          </cell>
          <cell r="GO56">
            <v>1.8419999999999999E-2</v>
          </cell>
          <cell r="GP56">
            <v>1.257E-2</v>
          </cell>
          <cell r="GQ56">
            <v>2.666E-2</v>
          </cell>
          <cell r="GR56">
            <v>1.9720000000000001E-2</v>
          </cell>
          <cell r="GS56">
            <v>2.1270000000000001E-2</v>
          </cell>
          <cell r="GT56">
            <v>1.5820000000000001E-2</v>
          </cell>
          <cell r="GU56">
            <v>1.601E-2</v>
          </cell>
          <cell r="GV56">
            <v>1.0529999999999999E-2</v>
          </cell>
          <cell r="GW56">
            <v>2.1270000000000001E-2</v>
          </cell>
          <cell r="GX56">
            <v>1.5820000000000001E-2</v>
          </cell>
          <cell r="GY56">
            <v>1.601E-2</v>
          </cell>
          <cell r="GZ56">
            <v>1.0529999999999999E-2</v>
          </cell>
          <cell r="HA56">
            <v>2.18E-2</v>
          </cell>
          <cell r="HB56">
            <v>1.9300000000000001E-2</v>
          </cell>
          <cell r="HC56">
            <v>1.9799999999999998E-2</v>
          </cell>
          <cell r="HD56">
            <v>1.6299999999999999E-2</v>
          </cell>
          <cell r="HE56">
            <v>2.18E-2</v>
          </cell>
          <cell r="HF56">
            <v>1.9300000000000001E-2</v>
          </cell>
          <cell r="HG56">
            <v>1.9799999999999998E-2</v>
          </cell>
          <cell r="HH56">
            <v>1.6299999999999999E-2</v>
          </cell>
          <cell r="HI56">
            <v>2.4340000000000001E-2</v>
          </cell>
          <cell r="HJ56">
            <v>1.7979999999999999E-2</v>
          </cell>
          <cell r="HK56">
            <v>1.8429999999999998E-2</v>
          </cell>
          <cell r="HL56">
            <v>1.1849999999999999E-2</v>
          </cell>
          <cell r="HM56">
            <v>2.6980000000000001E-2</v>
          </cell>
          <cell r="HN56">
            <v>1.8870000000000001E-2</v>
          </cell>
          <cell r="HO56">
            <v>2.1270000000000001E-2</v>
          </cell>
          <cell r="HP56">
            <v>1.5570000000000001E-2</v>
          </cell>
          <cell r="HQ56">
            <v>1.602E-2</v>
          </cell>
          <cell r="HR56">
            <v>1.0529999999999999E-2</v>
          </cell>
          <cell r="HS56">
            <v>2.1270000000000001E-2</v>
          </cell>
          <cell r="HT56">
            <v>1.5570000000000001E-2</v>
          </cell>
          <cell r="HU56">
            <v>1.602E-2</v>
          </cell>
          <cell r="HV56">
            <v>1.0529999999999999E-2</v>
          </cell>
          <cell r="HW56" t="str">
            <v>%PPL</v>
          </cell>
        </row>
        <row r="57">
          <cell r="AV57" t="str">
            <v>7750 SR-s IOM-s ER</v>
          </cell>
          <cell r="AW57">
            <v>0.73</v>
          </cell>
          <cell r="AX57">
            <v>0.7</v>
          </cell>
          <cell r="AY57">
            <v>0.73</v>
          </cell>
          <cell r="AZ57">
            <v>0.75</v>
          </cell>
          <cell r="BA57">
            <v>0.71299999999999997</v>
          </cell>
          <cell r="BB57">
            <v>0.75</v>
          </cell>
          <cell r="BC57">
            <v>0.75</v>
          </cell>
          <cell r="BD57">
            <v>0.71299999999999997</v>
          </cell>
          <cell r="BE57">
            <v>0.75</v>
          </cell>
          <cell r="BF57">
            <v>0.78</v>
          </cell>
          <cell r="BG57">
            <v>0.75</v>
          </cell>
          <cell r="BH57">
            <v>0.75</v>
          </cell>
          <cell r="BI57">
            <v>0.77</v>
          </cell>
          <cell r="BJ57">
            <v>0.6</v>
          </cell>
          <cell r="BK57">
            <v>2.5000000000000001E-2</v>
          </cell>
          <cell r="BL57" t="str">
            <v>%PMP</v>
          </cell>
          <cell r="BM57">
            <v>1.83E-2</v>
          </cell>
          <cell r="BN57">
            <v>1.4800000000000001E-2</v>
          </cell>
          <cell r="BO57">
            <v>1.5299999999999999E-2</v>
          </cell>
          <cell r="BP57">
            <v>1.18E-2</v>
          </cell>
          <cell r="BQ57">
            <v>1.83E-2</v>
          </cell>
          <cell r="BR57">
            <v>1.4800000000000001E-2</v>
          </cell>
          <cell r="BS57">
            <v>1.5299999999999999E-2</v>
          </cell>
          <cell r="BT57">
            <v>1.18E-2</v>
          </cell>
          <cell r="BU57">
            <v>1.2699999999999999E-2</v>
          </cell>
          <cell r="BV57">
            <v>6.6674999999999998E-3</v>
          </cell>
          <cell r="BW57">
            <v>9.6200000000000001E-3</v>
          </cell>
          <cell r="BX57">
            <v>3.8661509433962271E-3</v>
          </cell>
          <cell r="BY57">
            <v>1.397E-2</v>
          </cell>
          <cell r="BZ57">
            <v>7.8581250000000005E-3</v>
          </cell>
          <cell r="CA57">
            <v>1.0160000000000001E-2</v>
          </cell>
          <cell r="CB57">
            <v>5.3299999999999997E-3</v>
          </cell>
          <cell r="CC57">
            <v>7.6899999999999998E-3</v>
          </cell>
          <cell r="CD57">
            <v>3.0899999999999999E-3</v>
          </cell>
          <cell r="CE57">
            <v>1.0160000000000001E-2</v>
          </cell>
          <cell r="CF57">
            <v>5.3299999999999997E-3</v>
          </cell>
          <cell r="CG57">
            <v>7.6899999999999998E-3</v>
          </cell>
          <cell r="CH57">
            <v>3.0899999999999999E-3</v>
          </cell>
          <cell r="CI57">
            <v>2.3900000000000001E-2</v>
          </cell>
          <cell r="CJ57">
            <v>2.0399999999999998E-2</v>
          </cell>
          <cell r="CK57">
            <v>2.1700000000000001E-2</v>
          </cell>
          <cell r="CL57">
            <v>1.8200000000000001E-2</v>
          </cell>
          <cell r="CM57">
            <v>2.3900000000000001E-2</v>
          </cell>
          <cell r="CN57">
            <v>2.0399999999999998E-2</v>
          </cell>
          <cell r="CO57">
            <v>2.1700000000000001E-2</v>
          </cell>
          <cell r="CP57">
            <v>1.8200000000000001E-2</v>
          </cell>
          <cell r="CQ57">
            <v>1.1204909638189858E-2</v>
          </cell>
          <cell r="CR57">
            <v>5.5675951002205609E-3</v>
          </cell>
          <cell r="CS57">
            <v>9.6113224896473004E-3</v>
          </cell>
          <cell r="CT57">
            <v>3.8544889155373114E-3</v>
          </cell>
          <cell r="CU57">
            <v>1.233038056184804E-2</v>
          </cell>
          <cell r="CV57">
            <v>6.5635870680596595E-3</v>
          </cell>
          <cell r="CW57">
            <v>8.9639277105518864E-3</v>
          </cell>
          <cell r="CX57">
            <v>4.5018836946327245E-3</v>
          </cell>
          <cell r="CY57">
            <v>7.6591782326826674E-3</v>
          </cell>
          <cell r="CZ57">
            <v>3.0776151806228141E-3</v>
          </cell>
          <cell r="DA57">
            <v>8.9639277105518864E-3</v>
          </cell>
          <cell r="DB57">
            <v>4.5018836946327245E-3</v>
          </cell>
          <cell r="DC57">
            <v>7.6591782326826674E-3</v>
          </cell>
          <cell r="DD57">
            <v>3.0776151806228141E-3</v>
          </cell>
          <cell r="DE57">
            <v>1.2699999999999999E-2</v>
          </cell>
          <cell r="DF57">
            <v>8.6599999999999993E-3</v>
          </cell>
          <cell r="DG57">
            <v>1.1135507246376811E-2</v>
          </cell>
          <cell r="DH57">
            <v>7.9144927536231886E-3</v>
          </cell>
          <cell r="DI57">
            <v>2.4400000000000002E-2</v>
          </cell>
          <cell r="DJ57">
            <v>2.0899999999999998E-2</v>
          </cell>
          <cell r="DK57">
            <v>2.1499999999999998E-2</v>
          </cell>
          <cell r="DL57">
            <v>1.7999999999999999E-2</v>
          </cell>
          <cell r="DM57">
            <v>1.38E-2</v>
          </cell>
          <cell r="DN57">
            <v>1.03E-2</v>
          </cell>
          <cell r="DO57">
            <v>1.21E-2</v>
          </cell>
          <cell r="DP57">
            <v>8.6E-3</v>
          </cell>
          <cell r="DQ57">
            <v>1.38E-2</v>
          </cell>
          <cell r="DR57">
            <v>1.03E-2</v>
          </cell>
          <cell r="DS57">
            <v>1.21E-2</v>
          </cell>
          <cell r="DT57">
            <v>8.6E-3</v>
          </cell>
          <cell r="DU57">
            <v>9.9799999999999993E-3</v>
          </cell>
          <cell r="DV57">
            <v>6.1199999999999996E-3</v>
          </cell>
          <cell r="DW57">
            <v>8.8500000000000002E-3</v>
          </cell>
          <cell r="DX57">
            <v>4.5399999999999998E-3</v>
          </cell>
          <cell r="DY57">
            <v>1.1010000000000001E-2</v>
          </cell>
          <cell r="DZ57">
            <v>6.8100000000000001E-3</v>
          </cell>
          <cell r="EA57">
            <v>8.2799999999999992E-3</v>
          </cell>
          <cell r="EB57">
            <v>5.1000000000000004E-3</v>
          </cell>
          <cell r="EC57">
            <v>7.3699999999999998E-3</v>
          </cell>
          <cell r="ED57">
            <v>3.7399999999999998E-3</v>
          </cell>
          <cell r="EE57">
            <v>8.2799999999999992E-3</v>
          </cell>
          <cell r="EF57">
            <v>5.1000000000000004E-3</v>
          </cell>
          <cell r="EG57">
            <v>7.3699999999999998E-3</v>
          </cell>
          <cell r="EH57">
            <v>3.7399999999999998E-3</v>
          </cell>
          <cell r="EI57">
            <v>2.4400000000000002E-2</v>
          </cell>
          <cell r="EJ57">
            <v>2.0899999999999998E-2</v>
          </cell>
          <cell r="EK57">
            <v>2.1499999999999998E-2</v>
          </cell>
          <cell r="EL57">
            <v>1.7999999999999999E-2</v>
          </cell>
          <cell r="EM57">
            <v>1.38E-2</v>
          </cell>
          <cell r="EN57">
            <v>1.03E-2</v>
          </cell>
          <cell r="EO57">
            <v>1.21E-2</v>
          </cell>
          <cell r="EP57">
            <v>8.6E-3</v>
          </cell>
          <cell r="EQ57">
            <v>1.38E-2</v>
          </cell>
          <cell r="ER57">
            <v>1.03E-2</v>
          </cell>
          <cell r="ES57">
            <v>1.21E-2</v>
          </cell>
          <cell r="ET57">
            <v>8.6E-3</v>
          </cell>
          <cell r="EU57">
            <v>9.9799999999999993E-3</v>
          </cell>
          <cell r="EV57">
            <v>6.1199999999999996E-3</v>
          </cell>
          <cell r="EW57">
            <v>8.8500000000000002E-3</v>
          </cell>
          <cell r="EX57">
            <v>4.5399999999999998E-3</v>
          </cell>
          <cell r="EY57">
            <v>1.1010000000000001E-2</v>
          </cell>
          <cell r="EZ57">
            <v>6.8100000000000001E-3</v>
          </cell>
          <cell r="FA57">
            <v>8.2799999999999992E-3</v>
          </cell>
          <cell r="FB57">
            <v>5.1000000000000004E-3</v>
          </cell>
          <cell r="FC57">
            <v>7.3699999999999998E-3</v>
          </cell>
          <cell r="FD57">
            <v>3.7399999999999998E-3</v>
          </cell>
          <cell r="FE57">
            <v>8.2799999999999992E-3</v>
          </cell>
          <cell r="FF57">
            <v>5.1000000000000004E-3</v>
          </cell>
          <cell r="FG57">
            <v>7.3699999999999998E-3</v>
          </cell>
          <cell r="FH57">
            <v>3.7399999999999998E-3</v>
          </cell>
          <cell r="FI57">
            <v>2.76E-2</v>
          </cell>
          <cell r="FJ57">
            <v>2.4E-2</v>
          </cell>
          <cell r="FK57">
            <v>2.47E-2</v>
          </cell>
          <cell r="FL57">
            <v>2.1100000000000001E-2</v>
          </cell>
          <cell r="FM57">
            <v>2.76E-2</v>
          </cell>
          <cell r="FN57">
            <v>2.4E-2</v>
          </cell>
          <cell r="FO57">
            <v>2.47E-2</v>
          </cell>
          <cell r="FP57">
            <v>2.1100000000000001E-2</v>
          </cell>
          <cell r="FQ57">
            <v>2.426E-2</v>
          </cell>
          <cell r="FR57">
            <v>1.9060000000000001E-2</v>
          </cell>
          <cell r="FS57">
            <v>1.8419999999999999E-2</v>
          </cell>
          <cell r="FT57">
            <v>1.257E-2</v>
          </cell>
          <cell r="FU57">
            <v>2.666E-2</v>
          </cell>
          <cell r="FV57">
            <v>1.9720000000000001E-2</v>
          </cell>
          <cell r="FW57">
            <v>2.1010000000000001E-2</v>
          </cell>
          <cell r="FX57">
            <v>1.6459999999999999E-2</v>
          </cell>
          <cell r="FY57">
            <v>1.5810000000000001E-2</v>
          </cell>
          <cell r="FZ57">
            <v>1.082E-2</v>
          </cell>
          <cell r="GA57">
            <v>2.1010000000000001E-2</v>
          </cell>
          <cell r="GB57">
            <v>1.6459999999999999E-2</v>
          </cell>
          <cell r="GC57">
            <v>1.5810000000000001E-2</v>
          </cell>
          <cell r="GD57">
            <v>1.082E-2</v>
          </cell>
          <cell r="GE57">
            <v>2.18E-2</v>
          </cell>
          <cell r="GF57">
            <v>1.9300000000000001E-2</v>
          </cell>
          <cell r="GG57">
            <v>1.9799999999999998E-2</v>
          </cell>
          <cell r="GH57">
            <v>1.6299999999999999E-2</v>
          </cell>
          <cell r="GI57">
            <v>2.18E-2</v>
          </cell>
          <cell r="GJ57">
            <v>1.9300000000000001E-2</v>
          </cell>
          <cell r="GK57">
            <v>1.9799999999999998E-2</v>
          </cell>
          <cell r="GL57">
            <v>1.6299999999999999E-2</v>
          </cell>
          <cell r="GM57">
            <v>2.426E-2</v>
          </cell>
          <cell r="GN57">
            <v>1.9060000000000001E-2</v>
          </cell>
          <cell r="GO57">
            <v>1.8419999999999999E-2</v>
          </cell>
          <cell r="GP57">
            <v>1.257E-2</v>
          </cell>
          <cell r="GQ57">
            <v>2.666E-2</v>
          </cell>
          <cell r="GR57">
            <v>1.9720000000000001E-2</v>
          </cell>
          <cell r="GS57">
            <v>2.1270000000000001E-2</v>
          </cell>
          <cell r="GT57">
            <v>1.5820000000000001E-2</v>
          </cell>
          <cell r="GU57">
            <v>1.601E-2</v>
          </cell>
          <cell r="GV57">
            <v>1.0529999999999999E-2</v>
          </cell>
          <cell r="GW57">
            <v>2.1270000000000001E-2</v>
          </cell>
          <cell r="GX57">
            <v>1.5820000000000001E-2</v>
          </cell>
          <cell r="GY57">
            <v>1.601E-2</v>
          </cell>
          <cell r="GZ57">
            <v>1.0529999999999999E-2</v>
          </cell>
          <cell r="HA57">
            <v>2.18E-2</v>
          </cell>
          <cell r="HB57">
            <v>1.9300000000000001E-2</v>
          </cell>
          <cell r="HC57">
            <v>1.9799999999999998E-2</v>
          </cell>
          <cell r="HD57">
            <v>1.6299999999999999E-2</v>
          </cell>
          <cell r="HE57">
            <v>2.18E-2</v>
          </cell>
          <cell r="HF57">
            <v>1.9300000000000001E-2</v>
          </cell>
          <cell r="HG57">
            <v>1.9799999999999998E-2</v>
          </cell>
          <cell r="HH57">
            <v>1.6299999999999999E-2</v>
          </cell>
          <cell r="HI57">
            <v>2.4340000000000001E-2</v>
          </cell>
          <cell r="HJ57">
            <v>1.7979999999999999E-2</v>
          </cell>
          <cell r="HK57">
            <v>1.8429999999999998E-2</v>
          </cell>
          <cell r="HL57">
            <v>1.1849999999999999E-2</v>
          </cell>
          <cell r="HM57">
            <v>2.6980000000000001E-2</v>
          </cell>
          <cell r="HN57">
            <v>1.8870000000000001E-2</v>
          </cell>
          <cell r="HO57">
            <v>2.1270000000000001E-2</v>
          </cell>
          <cell r="HP57">
            <v>1.5570000000000001E-2</v>
          </cell>
          <cell r="HQ57">
            <v>1.602E-2</v>
          </cell>
          <cell r="HR57">
            <v>1.0529999999999999E-2</v>
          </cell>
          <cell r="HS57">
            <v>2.1270000000000001E-2</v>
          </cell>
          <cell r="HT57">
            <v>1.5570000000000001E-2</v>
          </cell>
          <cell r="HU57">
            <v>1.602E-2</v>
          </cell>
          <cell r="HV57">
            <v>1.0529999999999999E-2</v>
          </cell>
          <cell r="HW57" t="str">
            <v>%PPL</v>
          </cell>
        </row>
        <row r="58">
          <cell r="AV58" t="str">
            <v>7750 SR-s IOM-s HE</v>
          </cell>
          <cell r="AW58">
            <v>0.73</v>
          </cell>
          <cell r="AX58">
            <v>0.7</v>
          </cell>
          <cell r="AY58">
            <v>0.73</v>
          </cell>
          <cell r="AZ58">
            <v>0.75</v>
          </cell>
          <cell r="BA58">
            <v>0.71299999999999997</v>
          </cell>
          <cell r="BB58">
            <v>0.75</v>
          </cell>
          <cell r="BC58">
            <v>0.75</v>
          </cell>
          <cell r="BD58">
            <v>0.71299999999999997</v>
          </cell>
          <cell r="BE58">
            <v>0.75</v>
          </cell>
          <cell r="BF58">
            <v>0.78</v>
          </cell>
          <cell r="BG58">
            <v>0.75</v>
          </cell>
          <cell r="BH58">
            <v>0.75</v>
          </cell>
          <cell r="BI58">
            <v>0.77</v>
          </cell>
          <cell r="BJ58">
            <v>0.6</v>
          </cell>
          <cell r="BK58">
            <v>2.5000000000000001E-2</v>
          </cell>
          <cell r="BL58" t="str">
            <v>%PMP</v>
          </cell>
          <cell r="BM58">
            <v>1.83E-2</v>
          </cell>
          <cell r="BN58">
            <v>1.4800000000000001E-2</v>
          </cell>
          <cell r="BO58">
            <v>1.5299999999999999E-2</v>
          </cell>
          <cell r="BP58">
            <v>1.18E-2</v>
          </cell>
          <cell r="BQ58">
            <v>1.83E-2</v>
          </cell>
          <cell r="BR58">
            <v>1.4800000000000001E-2</v>
          </cell>
          <cell r="BS58">
            <v>1.5299999999999999E-2</v>
          </cell>
          <cell r="BT58">
            <v>1.18E-2</v>
          </cell>
          <cell r="BU58">
            <v>1.2699999999999999E-2</v>
          </cell>
          <cell r="BV58">
            <v>6.6674999999999998E-3</v>
          </cell>
          <cell r="BW58">
            <v>9.6200000000000001E-3</v>
          </cell>
          <cell r="BX58">
            <v>3.8661509433962271E-3</v>
          </cell>
          <cell r="BY58">
            <v>1.397E-2</v>
          </cell>
          <cell r="BZ58">
            <v>7.8581250000000005E-3</v>
          </cell>
          <cell r="CA58">
            <v>1.0160000000000001E-2</v>
          </cell>
          <cell r="CB58">
            <v>5.3299999999999997E-3</v>
          </cell>
          <cell r="CC58">
            <v>7.6899999999999998E-3</v>
          </cell>
          <cell r="CD58">
            <v>3.0899999999999999E-3</v>
          </cell>
          <cell r="CE58">
            <v>1.0160000000000001E-2</v>
          </cell>
          <cell r="CF58">
            <v>5.3299999999999997E-3</v>
          </cell>
          <cell r="CG58">
            <v>7.6899999999999998E-3</v>
          </cell>
          <cell r="CH58">
            <v>3.0899999999999999E-3</v>
          </cell>
          <cell r="CI58">
            <v>2.3900000000000001E-2</v>
          </cell>
          <cell r="CJ58">
            <v>2.0399999999999998E-2</v>
          </cell>
          <cell r="CK58">
            <v>2.1700000000000001E-2</v>
          </cell>
          <cell r="CL58">
            <v>1.8200000000000001E-2</v>
          </cell>
          <cell r="CM58">
            <v>2.3900000000000001E-2</v>
          </cell>
          <cell r="CN58">
            <v>2.0399999999999998E-2</v>
          </cell>
          <cell r="CO58">
            <v>2.1700000000000001E-2</v>
          </cell>
          <cell r="CP58">
            <v>1.8200000000000001E-2</v>
          </cell>
          <cell r="CQ58">
            <v>1.1204909638189858E-2</v>
          </cell>
          <cell r="CR58">
            <v>5.5675951002205609E-3</v>
          </cell>
          <cell r="CS58">
            <v>9.6113224896473004E-3</v>
          </cell>
          <cell r="CT58">
            <v>3.8544889155373114E-3</v>
          </cell>
          <cell r="CU58">
            <v>1.233038056184804E-2</v>
          </cell>
          <cell r="CV58">
            <v>6.5635870680596595E-3</v>
          </cell>
          <cell r="CW58">
            <v>8.9639277105518864E-3</v>
          </cell>
          <cell r="CX58">
            <v>4.5018836946327245E-3</v>
          </cell>
          <cell r="CY58">
            <v>7.6591782326826674E-3</v>
          </cell>
          <cell r="CZ58">
            <v>3.0776151806228141E-3</v>
          </cell>
          <cell r="DA58">
            <v>8.9639277105518864E-3</v>
          </cell>
          <cell r="DB58">
            <v>4.5018836946327245E-3</v>
          </cell>
          <cell r="DC58">
            <v>7.6591782326826674E-3</v>
          </cell>
          <cell r="DD58">
            <v>3.0776151806228141E-3</v>
          </cell>
          <cell r="DE58">
            <v>1.2699999999999999E-2</v>
          </cell>
          <cell r="DF58">
            <v>8.6599999999999993E-3</v>
          </cell>
          <cell r="DG58">
            <v>1.1135507246376811E-2</v>
          </cell>
          <cell r="DH58">
            <v>7.9144927536231886E-3</v>
          </cell>
          <cell r="DI58">
            <v>2.4400000000000002E-2</v>
          </cell>
          <cell r="DJ58">
            <v>2.0899999999999998E-2</v>
          </cell>
          <cell r="DK58">
            <v>2.1499999999999998E-2</v>
          </cell>
          <cell r="DL58">
            <v>1.7999999999999999E-2</v>
          </cell>
          <cell r="DM58">
            <v>1.38E-2</v>
          </cell>
          <cell r="DN58">
            <v>1.03E-2</v>
          </cell>
          <cell r="DO58">
            <v>1.21E-2</v>
          </cell>
          <cell r="DP58">
            <v>8.6E-3</v>
          </cell>
          <cell r="DQ58">
            <v>1.38E-2</v>
          </cell>
          <cell r="DR58">
            <v>1.03E-2</v>
          </cell>
          <cell r="DS58">
            <v>1.21E-2</v>
          </cell>
          <cell r="DT58">
            <v>8.6E-3</v>
          </cell>
          <cell r="DU58">
            <v>9.9799999999999993E-3</v>
          </cell>
          <cell r="DV58">
            <v>6.1199999999999996E-3</v>
          </cell>
          <cell r="DW58">
            <v>8.8500000000000002E-3</v>
          </cell>
          <cell r="DX58">
            <v>4.5399999999999998E-3</v>
          </cell>
          <cell r="DY58">
            <v>1.1010000000000001E-2</v>
          </cell>
          <cell r="DZ58">
            <v>6.8100000000000001E-3</v>
          </cell>
          <cell r="EA58">
            <v>8.2799999999999992E-3</v>
          </cell>
          <cell r="EB58">
            <v>5.1000000000000004E-3</v>
          </cell>
          <cell r="EC58">
            <v>7.3699999999999998E-3</v>
          </cell>
          <cell r="ED58">
            <v>3.7399999999999998E-3</v>
          </cell>
          <cell r="EE58">
            <v>8.2799999999999992E-3</v>
          </cell>
          <cell r="EF58">
            <v>5.1000000000000004E-3</v>
          </cell>
          <cell r="EG58">
            <v>7.3699999999999998E-3</v>
          </cell>
          <cell r="EH58">
            <v>3.7399999999999998E-3</v>
          </cell>
          <cell r="EI58">
            <v>2.4400000000000002E-2</v>
          </cell>
          <cell r="EJ58">
            <v>2.0899999999999998E-2</v>
          </cell>
          <cell r="EK58">
            <v>2.1499999999999998E-2</v>
          </cell>
          <cell r="EL58">
            <v>1.7999999999999999E-2</v>
          </cell>
          <cell r="EM58">
            <v>1.38E-2</v>
          </cell>
          <cell r="EN58">
            <v>1.03E-2</v>
          </cell>
          <cell r="EO58">
            <v>1.21E-2</v>
          </cell>
          <cell r="EP58">
            <v>8.6E-3</v>
          </cell>
          <cell r="EQ58">
            <v>1.38E-2</v>
          </cell>
          <cell r="ER58">
            <v>1.03E-2</v>
          </cell>
          <cell r="ES58">
            <v>1.21E-2</v>
          </cell>
          <cell r="ET58">
            <v>8.6E-3</v>
          </cell>
          <cell r="EU58">
            <v>9.9799999999999993E-3</v>
          </cell>
          <cell r="EV58">
            <v>6.1199999999999996E-3</v>
          </cell>
          <cell r="EW58">
            <v>8.8500000000000002E-3</v>
          </cell>
          <cell r="EX58">
            <v>4.5399999999999998E-3</v>
          </cell>
          <cell r="EY58">
            <v>1.1010000000000001E-2</v>
          </cell>
          <cell r="EZ58">
            <v>6.8100000000000001E-3</v>
          </cell>
          <cell r="FA58">
            <v>8.2799999999999992E-3</v>
          </cell>
          <cell r="FB58">
            <v>5.1000000000000004E-3</v>
          </cell>
          <cell r="FC58">
            <v>7.3699999999999998E-3</v>
          </cell>
          <cell r="FD58">
            <v>3.7399999999999998E-3</v>
          </cell>
          <cell r="FE58">
            <v>8.2799999999999992E-3</v>
          </cell>
          <cell r="FF58">
            <v>5.1000000000000004E-3</v>
          </cell>
          <cell r="FG58">
            <v>7.3699999999999998E-3</v>
          </cell>
          <cell r="FH58">
            <v>3.7399999999999998E-3</v>
          </cell>
          <cell r="FI58">
            <v>2.76E-2</v>
          </cell>
          <cell r="FJ58">
            <v>2.4E-2</v>
          </cell>
          <cell r="FK58">
            <v>2.47E-2</v>
          </cell>
          <cell r="FL58">
            <v>2.1100000000000001E-2</v>
          </cell>
          <cell r="FM58">
            <v>2.76E-2</v>
          </cell>
          <cell r="FN58">
            <v>2.4E-2</v>
          </cell>
          <cell r="FO58">
            <v>2.47E-2</v>
          </cell>
          <cell r="FP58">
            <v>2.1100000000000001E-2</v>
          </cell>
          <cell r="FQ58">
            <v>2.426E-2</v>
          </cell>
          <cell r="FR58">
            <v>1.9060000000000001E-2</v>
          </cell>
          <cell r="FS58">
            <v>1.8419999999999999E-2</v>
          </cell>
          <cell r="FT58">
            <v>1.257E-2</v>
          </cell>
          <cell r="FU58">
            <v>2.666E-2</v>
          </cell>
          <cell r="FV58">
            <v>1.9720000000000001E-2</v>
          </cell>
          <cell r="FW58">
            <v>2.1010000000000001E-2</v>
          </cell>
          <cell r="FX58">
            <v>1.6459999999999999E-2</v>
          </cell>
          <cell r="FY58">
            <v>1.5810000000000001E-2</v>
          </cell>
          <cell r="FZ58">
            <v>1.082E-2</v>
          </cell>
          <cell r="GA58">
            <v>2.1010000000000001E-2</v>
          </cell>
          <cell r="GB58">
            <v>1.6459999999999999E-2</v>
          </cell>
          <cell r="GC58">
            <v>1.5810000000000001E-2</v>
          </cell>
          <cell r="GD58">
            <v>1.082E-2</v>
          </cell>
          <cell r="GE58">
            <v>2.18E-2</v>
          </cell>
          <cell r="GF58">
            <v>1.9300000000000001E-2</v>
          </cell>
          <cell r="GG58">
            <v>1.9799999999999998E-2</v>
          </cell>
          <cell r="GH58">
            <v>1.6299999999999999E-2</v>
          </cell>
          <cell r="GI58">
            <v>2.18E-2</v>
          </cell>
          <cell r="GJ58">
            <v>1.9300000000000001E-2</v>
          </cell>
          <cell r="GK58">
            <v>1.9799999999999998E-2</v>
          </cell>
          <cell r="GL58">
            <v>1.6299999999999999E-2</v>
          </cell>
          <cell r="GM58">
            <v>2.426E-2</v>
          </cell>
          <cell r="GN58">
            <v>1.9060000000000001E-2</v>
          </cell>
          <cell r="GO58">
            <v>1.8419999999999999E-2</v>
          </cell>
          <cell r="GP58">
            <v>1.257E-2</v>
          </cell>
          <cell r="GQ58">
            <v>2.666E-2</v>
          </cell>
          <cell r="GR58">
            <v>1.9720000000000001E-2</v>
          </cell>
          <cell r="GS58">
            <v>2.1270000000000001E-2</v>
          </cell>
          <cell r="GT58">
            <v>1.5820000000000001E-2</v>
          </cell>
          <cell r="GU58">
            <v>1.601E-2</v>
          </cell>
          <cell r="GV58">
            <v>1.0529999999999999E-2</v>
          </cell>
          <cell r="GW58">
            <v>2.1270000000000001E-2</v>
          </cell>
          <cell r="GX58">
            <v>1.5820000000000001E-2</v>
          </cell>
          <cell r="GY58">
            <v>1.601E-2</v>
          </cell>
          <cell r="GZ58">
            <v>1.0529999999999999E-2</v>
          </cell>
          <cell r="HA58">
            <v>2.18E-2</v>
          </cell>
          <cell r="HB58">
            <v>1.9300000000000001E-2</v>
          </cell>
          <cell r="HC58">
            <v>1.9799999999999998E-2</v>
          </cell>
          <cell r="HD58">
            <v>1.6299999999999999E-2</v>
          </cell>
          <cell r="HE58">
            <v>2.18E-2</v>
          </cell>
          <cell r="HF58">
            <v>1.9300000000000001E-2</v>
          </cell>
          <cell r="HG58">
            <v>1.9799999999999998E-2</v>
          </cell>
          <cell r="HH58">
            <v>1.6299999999999999E-2</v>
          </cell>
          <cell r="HI58">
            <v>2.4340000000000001E-2</v>
          </cell>
          <cell r="HJ58">
            <v>1.7979999999999999E-2</v>
          </cell>
          <cell r="HK58">
            <v>1.8429999999999998E-2</v>
          </cell>
          <cell r="HL58">
            <v>1.1849999999999999E-2</v>
          </cell>
          <cell r="HM58">
            <v>2.6980000000000001E-2</v>
          </cell>
          <cell r="HN58">
            <v>1.8870000000000001E-2</v>
          </cell>
          <cell r="HO58">
            <v>2.1270000000000001E-2</v>
          </cell>
          <cell r="HP58">
            <v>1.5570000000000001E-2</v>
          </cell>
          <cell r="HQ58">
            <v>1.602E-2</v>
          </cell>
          <cell r="HR58">
            <v>1.0529999999999999E-2</v>
          </cell>
          <cell r="HS58">
            <v>2.1270000000000001E-2</v>
          </cell>
          <cell r="HT58">
            <v>1.5570000000000001E-2</v>
          </cell>
          <cell r="HU58">
            <v>1.602E-2</v>
          </cell>
          <cell r="HV58">
            <v>1.0529999999999999E-2</v>
          </cell>
          <cell r="HW58" t="str">
            <v>%PPL</v>
          </cell>
        </row>
        <row r="59">
          <cell r="AV59" t="str">
            <v>7750 SR-s MDA-s</v>
          </cell>
          <cell r="AW59">
            <v>0.73</v>
          </cell>
          <cell r="AX59">
            <v>0.7</v>
          </cell>
          <cell r="AY59">
            <v>0.73</v>
          </cell>
          <cell r="AZ59">
            <v>0.75</v>
          </cell>
          <cell r="BA59">
            <v>0.71299999999999997</v>
          </cell>
          <cell r="BB59">
            <v>0.75</v>
          </cell>
          <cell r="BC59">
            <v>0.75</v>
          </cell>
          <cell r="BD59">
            <v>0.71299999999999997</v>
          </cell>
          <cell r="BE59">
            <v>0.75</v>
          </cell>
          <cell r="BF59">
            <v>0.78</v>
          </cell>
          <cell r="BG59">
            <v>0.75</v>
          </cell>
          <cell r="BH59">
            <v>0.75</v>
          </cell>
          <cell r="BI59">
            <v>0.77</v>
          </cell>
          <cell r="BJ59">
            <v>0.6</v>
          </cell>
          <cell r="BK59">
            <v>2.5000000000000001E-2</v>
          </cell>
          <cell r="BL59" t="str">
            <v>%PMP</v>
          </cell>
          <cell r="BM59">
            <v>1.83E-2</v>
          </cell>
          <cell r="BN59">
            <v>1.4800000000000001E-2</v>
          </cell>
          <cell r="BO59">
            <v>1.5299999999999999E-2</v>
          </cell>
          <cell r="BP59">
            <v>1.18E-2</v>
          </cell>
          <cell r="BQ59">
            <v>1.83E-2</v>
          </cell>
          <cell r="BR59">
            <v>1.4800000000000001E-2</v>
          </cell>
          <cell r="BS59">
            <v>1.5299999999999999E-2</v>
          </cell>
          <cell r="BT59">
            <v>1.18E-2</v>
          </cell>
          <cell r="BU59">
            <v>1.2699999999999999E-2</v>
          </cell>
          <cell r="BV59">
            <v>6.6674999999999998E-3</v>
          </cell>
          <cell r="BW59">
            <v>9.6200000000000001E-3</v>
          </cell>
          <cell r="BX59">
            <v>3.8661509433962271E-3</v>
          </cell>
          <cell r="BY59">
            <v>1.397E-2</v>
          </cell>
          <cell r="BZ59">
            <v>7.8581250000000005E-3</v>
          </cell>
          <cell r="CA59">
            <v>1.0160000000000001E-2</v>
          </cell>
          <cell r="CB59">
            <v>5.3299999999999997E-3</v>
          </cell>
          <cell r="CC59">
            <v>7.6899999999999998E-3</v>
          </cell>
          <cell r="CD59">
            <v>3.0899999999999999E-3</v>
          </cell>
          <cell r="CE59">
            <v>1.0160000000000001E-2</v>
          </cell>
          <cell r="CF59">
            <v>5.3299999999999997E-3</v>
          </cell>
          <cell r="CG59">
            <v>7.6899999999999998E-3</v>
          </cell>
          <cell r="CH59">
            <v>3.0899999999999999E-3</v>
          </cell>
          <cell r="CI59">
            <v>2.3900000000000001E-2</v>
          </cell>
          <cell r="CJ59">
            <v>2.0399999999999998E-2</v>
          </cell>
          <cell r="CK59">
            <v>2.1700000000000001E-2</v>
          </cell>
          <cell r="CL59">
            <v>1.8200000000000001E-2</v>
          </cell>
          <cell r="CM59">
            <v>2.3900000000000001E-2</v>
          </cell>
          <cell r="CN59">
            <v>2.0399999999999998E-2</v>
          </cell>
          <cell r="CO59">
            <v>2.1700000000000001E-2</v>
          </cell>
          <cell r="CP59">
            <v>1.8200000000000001E-2</v>
          </cell>
          <cell r="CQ59">
            <v>1.1204909638189858E-2</v>
          </cell>
          <cell r="CR59">
            <v>5.5675951002205609E-3</v>
          </cell>
          <cell r="CS59">
            <v>9.6113224896473004E-3</v>
          </cell>
          <cell r="CT59">
            <v>3.8544889155373114E-3</v>
          </cell>
          <cell r="CU59">
            <v>1.233038056184804E-2</v>
          </cell>
          <cell r="CV59">
            <v>6.5635870680596595E-3</v>
          </cell>
          <cell r="CW59">
            <v>8.9639277105518864E-3</v>
          </cell>
          <cell r="CX59">
            <v>4.5018836946327245E-3</v>
          </cell>
          <cell r="CY59">
            <v>7.6591782326826674E-3</v>
          </cell>
          <cell r="CZ59">
            <v>3.0776151806228141E-3</v>
          </cell>
          <cell r="DA59">
            <v>8.9639277105518864E-3</v>
          </cell>
          <cell r="DB59">
            <v>4.5018836946327245E-3</v>
          </cell>
          <cell r="DC59">
            <v>7.6591782326826674E-3</v>
          </cell>
          <cell r="DD59">
            <v>3.0776151806228141E-3</v>
          </cell>
          <cell r="DE59">
            <v>1.2699999999999999E-2</v>
          </cell>
          <cell r="DF59">
            <v>8.6599999999999993E-3</v>
          </cell>
          <cell r="DG59">
            <v>1.1135507246376811E-2</v>
          </cell>
          <cell r="DH59">
            <v>7.9144927536231886E-3</v>
          </cell>
          <cell r="DI59">
            <v>2.4400000000000002E-2</v>
          </cell>
          <cell r="DJ59">
            <v>2.0899999999999998E-2</v>
          </cell>
          <cell r="DK59">
            <v>2.1499999999999998E-2</v>
          </cell>
          <cell r="DL59">
            <v>1.7999999999999999E-2</v>
          </cell>
          <cell r="DM59">
            <v>1.38E-2</v>
          </cell>
          <cell r="DN59">
            <v>1.03E-2</v>
          </cell>
          <cell r="DO59">
            <v>1.21E-2</v>
          </cell>
          <cell r="DP59">
            <v>8.6E-3</v>
          </cell>
          <cell r="DQ59">
            <v>1.38E-2</v>
          </cell>
          <cell r="DR59">
            <v>1.03E-2</v>
          </cell>
          <cell r="DS59">
            <v>1.21E-2</v>
          </cell>
          <cell r="DT59">
            <v>8.6E-3</v>
          </cell>
          <cell r="DU59">
            <v>9.9799999999999993E-3</v>
          </cell>
          <cell r="DV59">
            <v>6.1199999999999996E-3</v>
          </cell>
          <cell r="DW59">
            <v>8.8500000000000002E-3</v>
          </cell>
          <cell r="DX59">
            <v>4.5399999999999998E-3</v>
          </cell>
          <cell r="DY59">
            <v>1.1010000000000001E-2</v>
          </cell>
          <cell r="DZ59">
            <v>6.8100000000000001E-3</v>
          </cell>
          <cell r="EA59">
            <v>8.2799999999999992E-3</v>
          </cell>
          <cell r="EB59">
            <v>5.1000000000000004E-3</v>
          </cell>
          <cell r="EC59">
            <v>7.3699999999999998E-3</v>
          </cell>
          <cell r="ED59">
            <v>3.7399999999999998E-3</v>
          </cell>
          <cell r="EE59">
            <v>8.2799999999999992E-3</v>
          </cell>
          <cell r="EF59">
            <v>5.1000000000000004E-3</v>
          </cell>
          <cell r="EG59">
            <v>7.3699999999999998E-3</v>
          </cell>
          <cell r="EH59">
            <v>3.7399999999999998E-3</v>
          </cell>
          <cell r="EI59">
            <v>2.4400000000000002E-2</v>
          </cell>
          <cell r="EJ59">
            <v>2.0899999999999998E-2</v>
          </cell>
          <cell r="EK59">
            <v>2.1499999999999998E-2</v>
          </cell>
          <cell r="EL59">
            <v>1.7999999999999999E-2</v>
          </cell>
          <cell r="EM59">
            <v>1.38E-2</v>
          </cell>
          <cell r="EN59">
            <v>1.03E-2</v>
          </cell>
          <cell r="EO59">
            <v>1.21E-2</v>
          </cell>
          <cell r="EP59">
            <v>8.6E-3</v>
          </cell>
          <cell r="EQ59">
            <v>1.38E-2</v>
          </cell>
          <cell r="ER59">
            <v>1.03E-2</v>
          </cell>
          <cell r="ES59">
            <v>1.21E-2</v>
          </cell>
          <cell r="ET59">
            <v>8.6E-3</v>
          </cell>
          <cell r="EU59">
            <v>9.9799999999999993E-3</v>
          </cell>
          <cell r="EV59">
            <v>6.1199999999999996E-3</v>
          </cell>
          <cell r="EW59">
            <v>8.8500000000000002E-3</v>
          </cell>
          <cell r="EX59">
            <v>4.5399999999999998E-3</v>
          </cell>
          <cell r="EY59">
            <v>1.1010000000000001E-2</v>
          </cell>
          <cell r="EZ59">
            <v>6.8100000000000001E-3</v>
          </cell>
          <cell r="FA59">
            <v>8.2799999999999992E-3</v>
          </cell>
          <cell r="FB59">
            <v>5.1000000000000004E-3</v>
          </cell>
          <cell r="FC59">
            <v>7.3699999999999998E-3</v>
          </cell>
          <cell r="FD59">
            <v>3.7399999999999998E-3</v>
          </cell>
          <cell r="FE59">
            <v>8.2799999999999992E-3</v>
          </cell>
          <cell r="FF59">
            <v>5.1000000000000004E-3</v>
          </cell>
          <cell r="FG59">
            <v>7.3699999999999998E-3</v>
          </cell>
          <cell r="FH59">
            <v>3.7399999999999998E-3</v>
          </cell>
          <cell r="FI59">
            <v>2.76E-2</v>
          </cell>
          <cell r="FJ59">
            <v>2.4E-2</v>
          </cell>
          <cell r="FK59">
            <v>2.47E-2</v>
          </cell>
          <cell r="FL59">
            <v>2.1100000000000001E-2</v>
          </cell>
          <cell r="FM59">
            <v>2.76E-2</v>
          </cell>
          <cell r="FN59">
            <v>2.4E-2</v>
          </cell>
          <cell r="FO59">
            <v>2.47E-2</v>
          </cell>
          <cell r="FP59">
            <v>2.1100000000000001E-2</v>
          </cell>
          <cell r="FQ59">
            <v>2.426E-2</v>
          </cell>
          <cell r="FR59">
            <v>1.9060000000000001E-2</v>
          </cell>
          <cell r="FS59">
            <v>1.8419999999999999E-2</v>
          </cell>
          <cell r="FT59">
            <v>1.257E-2</v>
          </cell>
          <cell r="FU59">
            <v>2.666E-2</v>
          </cell>
          <cell r="FV59">
            <v>1.9720000000000001E-2</v>
          </cell>
          <cell r="FW59">
            <v>2.1010000000000001E-2</v>
          </cell>
          <cell r="FX59">
            <v>1.6459999999999999E-2</v>
          </cell>
          <cell r="FY59">
            <v>1.5810000000000001E-2</v>
          </cell>
          <cell r="FZ59">
            <v>1.082E-2</v>
          </cell>
          <cell r="GA59">
            <v>2.1010000000000001E-2</v>
          </cell>
          <cell r="GB59">
            <v>1.6459999999999999E-2</v>
          </cell>
          <cell r="GC59">
            <v>1.5810000000000001E-2</v>
          </cell>
          <cell r="GD59">
            <v>1.082E-2</v>
          </cell>
          <cell r="GE59">
            <v>2.18E-2</v>
          </cell>
          <cell r="GF59">
            <v>1.9300000000000001E-2</v>
          </cell>
          <cell r="GG59">
            <v>1.9799999999999998E-2</v>
          </cell>
          <cell r="GH59">
            <v>1.6299999999999999E-2</v>
          </cell>
          <cell r="GI59">
            <v>2.18E-2</v>
          </cell>
          <cell r="GJ59">
            <v>1.9300000000000001E-2</v>
          </cell>
          <cell r="GK59">
            <v>1.9799999999999998E-2</v>
          </cell>
          <cell r="GL59">
            <v>1.6299999999999999E-2</v>
          </cell>
          <cell r="GM59">
            <v>2.426E-2</v>
          </cell>
          <cell r="GN59">
            <v>1.9060000000000001E-2</v>
          </cell>
          <cell r="GO59">
            <v>1.8419999999999999E-2</v>
          </cell>
          <cell r="GP59">
            <v>1.257E-2</v>
          </cell>
          <cell r="GQ59">
            <v>2.666E-2</v>
          </cell>
          <cell r="GR59">
            <v>1.9720000000000001E-2</v>
          </cell>
          <cell r="GS59">
            <v>2.1270000000000001E-2</v>
          </cell>
          <cell r="GT59">
            <v>1.5820000000000001E-2</v>
          </cell>
          <cell r="GU59">
            <v>1.601E-2</v>
          </cell>
          <cell r="GV59">
            <v>1.0529999999999999E-2</v>
          </cell>
          <cell r="GW59">
            <v>2.1270000000000001E-2</v>
          </cell>
          <cell r="GX59">
            <v>1.5820000000000001E-2</v>
          </cell>
          <cell r="GY59">
            <v>1.601E-2</v>
          </cell>
          <cell r="GZ59">
            <v>1.0529999999999999E-2</v>
          </cell>
          <cell r="HA59">
            <v>2.18E-2</v>
          </cell>
          <cell r="HB59">
            <v>1.9300000000000001E-2</v>
          </cell>
          <cell r="HC59">
            <v>1.9799999999999998E-2</v>
          </cell>
          <cell r="HD59">
            <v>1.6299999999999999E-2</v>
          </cell>
          <cell r="HE59">
            <v>2.18E-2</v>
          </cell>
          <cell r="HF59">
            <v>1.9300000000000001E-2</v>
          </cell>
          <cell r="HG59">
            <v>1.9799999999999998E-2</v>
          </cell>
          <cell r="HH59">
            <v>1.6299999999999999E-2</v>
          </cell>
          <cell r="HI59">
            <v>2.4340000000000001E-2</v>
          </cell>
          <cell r="HJ59">
            <v>1.7979999999999999E-2</v>
          </cell>
          <cell r="HK59">
            <v>1.8429999999999998E-2</v>
          </cell>
          <cell r="HL59">
            <v>1.1849999999999999E-2</v>
          </cell>
          <cell r="HM59">
            <v>2.6980000000000001E-2</v>
          </cell>
          <cell r="HN59">
            <v>1.8870000000000001E-2</v>
          </cell>
          <cell r="HO59">
            <v>2.1270000000000001E-2</v>
          </cell>
          <cell r="HP59">
            <v>1.5570000000000001E-2</v>
          </cell>
          <cell r="HQ59">
            <v>1.602E-2</v>
          </cell>
          <cell r="HR59">
            <v>1.0529999999999999E-2</v>
          </cell>
          <cell r="HS59">
            <v>2.1270000000000001E-2</v>
          </cell>
          <cell r="HT59">
            <v>1.5570000000000001E-2</v>
          </cell>
          <cell r="HU59">
            <v>1.602E-2</v>
          </cell>
          <cell r="HV59">
            <v>1.0529999999999999E-2</v>
          </cell>
          <cell r="HW59" t="str">
            <v>%PPL</v>
          </cell>
        </row>
        <row r="60">
          <cell r="AV60" t="str">
            <v>7750 SR-s Power Equipment</v>
          </cell>
          <cell r="AW60">
            <v>0.73</v>
          </cell>
          <cell r="AX60">
            <v>0.7</v>
          </cell>
          <cell r="AY60">
            <v>0.73</v>
          </cell>
          <cell r="AZ60">
            <v>0.75</v>
          </cell>
          <cell r="BA60">
            <v>0.71</v>
          </cell>
          <cell r="BB60">
            <v>0.75</v>
          </cell>
          <cell r="BC60">
            <v>0.75</v>
          </cell>
          <cell r="BD60">
            <v>0.71</v>
          </cell>
          <cell r="BE60">
            <v>0.75</v>
          </cell>
          <cell r="BF60">
            <v>0.75</v>
          </cell>
          <cell r="BG60">
            <v>0.75</v>
          </cell>
          <cell r="BH60">
            <v>0.75</v>
          </cell>
          <cell r="BI60">
            <v>0.5</v>
          </cell>
          <cell r="BJ60">
            <v>0.6</v>
          </cell>
          <cell r="BK60">
            <v>2.5000000000000001E-2</v>
          </cell>
          <cell r="BL60" t="str">
            <v>%PMP</v>
          </cell>
          <cell r="BM60">
            <v>1.83E-2</v>
          </cell>
          <cell r="BN60">
            <v>1.4800000000000001E-2</v>
          </cell>
          <cell r="BO60">
            <v>1.5299999999999999E-2</v>
          </cell>
          <cell r="BP60">
            <v>1.18E-2</v>
          </cell>
          <cell r="BQ60">
            <v>1.83E-2</v>
          </cell>
          <cell r="BR60">
            <v>1.4800000000000001E-2</v>
          </cell>
          <cell r="BS60">
            <v>1.5299999999999999E-2</v>
          </cell>
          <cell r="BT60">
            <v>1.18E-2</v>
          </cell>
          <cell r="BU60">
            <v>1.2699999999999999E-2</v>
          </cell>
          <cell r="BV60">
            <v>6.6674999999999998E-3</v>
          </cell>
          <cell r="BW60">
            <v>9.6200000000000001E-3</v>
          </cell>
          <cell r="BX60">
            <v>3.8661509433962271E-3</v>
          </cell>
          <cell r="BY60">
            <v>1.397E-2</v>
          </cell>
          <cell r="BZ60">
            <v>7.8581250000000005E-3</v>
          </cell>
          <cell r="CA60">
            <v>1.0160000000000001E-2</v>
          </cell>
          <cell r="CB60">
            <v>5.3299999999999997E-3</v>
          </cell>
          <cell r="CC60">
            <v>7.6899999999999998E-3</v>
          </cell>
          <cell r="CD60">
            <v>3.0899999999999999E-3</v>
          </cell>
          <cell r="CE60">
            <v>1.0160000000000001E-2</v>
          </cell>
          <cell r="CF60">
            <v>5.3299999999999997E-3</v>
          </cell>
          <cell r="CG60">
            <v>7.6899999999999998E-3</v>
          </cell>
          <cell r="CH60">
            <v>3.0899999999999999E-3</v>
          </cell>
          <cell r="CI60">
            <v>2.3900000000000001E-2</v>
          </cell>
          <cell r="CJ60">
            <v>2.0399999999999998E-2</v>
          </cell>
          <cell r="CK60">
            <v>2.1700000000000001E-2</v>
          </cell>
          <cell r="CL60">
            <v>1.8200000000000001E-2</v>
          </cell>
          <cell r="CM60">
            <v>2.3900000000000001E-2</v>
          </cell>
          <cell r="CN60">
            <v>2.0399999999999998E-2</v>
          </cell>
          <cell r="CO60">
            <v>2.1700000000000001E-2</v>
          </cell>
          <cell r="CP60">
            <v>1.8200000000000001E-2</v>
          </cell>
          <cell r="CQ60">
            <v>1.1204909638189858E-2</v>
          </cell>
          <cell r="CR60">
            <v>5.5675951002205609E-3</v>
          </cell>
          <cell r="CS60">
            <v>9.6113224896473004E-3</v>
          </cell>
          <cell r="CT60">
            <v>3.8544889155373114E-3</v>
          </cell>
          <cell r="CU60">
            <v>1.233038056184804E-2</v>
          </cell>
          <cell r="CV60">
            <v>6.5635870680596595E-3</v>
          </cell>
          <cell r="CW60">
            <v>8.9639277105518864E-3</v>
          </cell>
          <cell r="CX60">
            <v>4.5018836946327245E-3</v>
          </cell>
          <cell r="CY60">
            <v>7.6591782326826674E-3</v>
          </cell>
          <cell r="CZ60">
            <v>3.0776151806228141E-3</v>
          </cell>
          <cell r="DA60">
            <v>8.9639277105518864E-3</v>
          </cell>
          <cell r="DB60">
            <v>4.5018836946327245E-3</v>
          </cell>
          <cell r="DC60">
            <v>7.6591782326826674E-3</v>
          </cell>
          <cell r="DD60">
            <v>3.0776151806228141E-3</v>
          </cell>
          <cell r="DE60">
            <v>1.2699999999999999E-2</v>
          </cell>
          <cell r="DF60">
            <v>8.6599999999999993E-3</v>
          </cell>
          <cell r="DG60">
            <v>1.1135507246376811E-2</v>
          </cell>
          <cell r="DH60">
            <v>7.9144927536231886E-3</v>
          </cell>
          <cell r="DI60">
            <v>2.4400000000000002E-2</v>
          </cell>
          <cell r="DJ60">
            <v>2.0899999999999998E-2</v>
          </cell>
          <cell r="DK60">
            <v>2.1499999999999998E-2</v>
          </cell>
          <cell r="DL60">
            <v>1.7999999999999999E-2</v>
          </cell>
          <cell r="DM60">
            <v>1.38E-2</v>
          </cell>
          <cell r="DN60">
            <v>1.03E-2</v>
          </cell>
          <cell r="DO60">
            <v>1.21E-2</v>
          </cell>
          <cell r="DP60">
            <v>8.6E-3</v>
          </cell>
          <cell r="DQ60">
            <v>1.38E-2</v>
          </cell>
          <cell r="DR60">
            <v>1.03E-2</v>
          </cell>
          <cell r="DS60">
            <v>1.21E-2</v>
          </cell>
          <cell r="DT60">
            <v>8.6E-3</v>
          </cell>
          <cell r="DU60">
            <v>9.9799999999999993E-3</v>
          </cell>
          <cell r="DV60">
            <v>6.1199999999999996E-3</v>
          </cell>
          <cell r="DW60">
            <v>8.8500000000000002E-3</v>
          </cell>
          <cell r="DX60">
            <v>4.5399999999999998E-3</v>
          </cell>
          <cell r="DY60">
            <v>1.1010000000000001E-2</v>
          </cell>
          <cell r="DZ60">
            <v>6.8100000000000001E-3</v>
          </cell>
          <cell r="EA60">
            <v>8.2799999999999992E-3</v>
          </cell>
          <cell r="EB60">
            <v>5.1000000000000004E-3</v>
          </cell>
          <cell r="EC60">
            <v>7.3699999999999998E-3</v>
          </cell>
          <cell r="ED60">
            <v>3.7399999999999998E-3</v>
          </cell>
          <cell r="EE60">
            <v>8.2799999999999992E-3</v>
          </cell>
          <cell r="EF60">
            <v>5.1000000000000004E-3</v>
          </cell>
          <cell r="EG60">
            <v>7.3699999999999998E-3</v>
          </cell>
          <cell r="EH60">
            <v>3.7399999999999998E-3</v>
          </cell>
          <cell r="EI60">
            <v>1.83E-2</v>
          </cell>
          <cell r="EJ60">
            <v>1.4800000000000001E-2</v>
          </cell>
          <cell r="EK60">
            <v>1.61E-2</v>
          </cell>
          <cell r="EL60">
            <v>1.26E-2</v>
          </cell>
          <cell r="EM60">
            <v>1.0999999999999999E-2</v>
          </cell>
          <cell r="EN60">
            <v>7.5000000000000006E-3</v>
          </cell>
          <cell r="EO60">
            <v>9.6999999999999986E-3</v>
          </cell>
          <cell r="EP60">
            <v>6.2000000000000006E-3</v>
          </cell>
          <cell r="EQ60">
            <v>1.0999999999999999E-2</v>
          </cell>
          <cell r="ER60">
            <v>7.5000000000000006E-3</v>
          </cell>
          <cell r="ES60">
            <v>9.6999999999999986E-3</v>
          </cell>
          <cell r="ET60">
            <v>6.2000000000000006E-3</v>
          </cell>
          <cell r="EU60">
            <v>9.9799999999999993E-3</v>
          </cell>
          <cell r="EV60">
            <v>6.1199999999999996E-3</v>
          </cell>
          <cell r="EW60">
            <v>8.8500000000000002E-3</v>
          </cell>
          <cell r="EX60">
            <v>4.5399999999999998E-3</v>
          </cell>
          <cell r="EY60">
            <v>1.1010000000000001E-2</v>
          </cell>
          <cell r="EZ60">
            <v>6.8100000000000001E-3</v>
          </cell>
          <cell r="FA60">
            <v>8.2799999999999992E-3</v>
          </cell>
          <cell r="FB60">
            <v>5.1000000000000004E-3</v>
          </cell>
          <cell r="FC60">
            <v>7.3699999999999998E-3</v>
          </cell>
          <cell r="FD60">
            <v>3.7399999999999998E-3</v>
          </cell>
          <cell r="FE60">
            <v>8.2799999999999992E-3</v>
          </cell>
          <cell r="FF60">
            <v>5.1000000000000004E-3</v>
          </cell>
          <cell r="FG60">
            <v>7.3699999999999998E-3</v>
          </cell>
          <cell r="FH60">
            <v>3.7399999999999998E-3</v>
          </cell>
          <cell r="FI60">
            <v>2.76E-2</v>
          </cell>
          <cell r="FJ60">
            <v>2.4E-2</v>
          </cell>
          <cell r="FK60">
            <v>2.47E-2</v>
          </cell>
          <cell r="FL60">
            <v>2.1100000000000001E-2</v>
          </cell>
          <cell r="FM60">
            <v>2.76E-2</v>
          </cell>
          <cell r="FN60">
            <v>2.4E-2</v>
          </cell>
          <cell r="FO60">
            <v>2.47E-2</v>
          </cell>
          <cell r="FP60">
            <v>2.1100000000000001E-2</v>
          </cell>
          <cell r="FQ60">
            <v>2.426E-2</v>
          </cell>
          <cell r="FR60">
            <v>1.9060000000000001E-2</v>
          </cell>
          <cell r="FS60">
            <v>1.8419999999999999E-2</v>
          </cell>
          <cell r="FT60">
            <v>1.257E-2</v>
          </cell>
          <cell r="FU60">
            <v>2.666E-2</v>
          </cell>
          <cell r="FV60">
            <v>1.9720000000000001E-2</v>
          </cell>
          <cell r="FW60">
            <v>2.1010000000000001E-2</v>
          </cell>
          <cell r="FX60">
            <v>1.6459999999999999E-2</v>
          </cell>
          <cell r="FY60">
            <v>1.5810000000000001E-2</v>
          </cell>
          <cell r="FZ60">
            <v>1.082E-2</v>
          </cell>
          <cell r="GA60">
            <v>2.1010000000000001E-2</v>
          </cell>
          <cell r="GB60">
            <v>1.6459999999999999E-2</v>
          </cell>
          <cell r="GC60">
            <v>1.5810000000000001E-2</v>
          </cell>
          <cell r="GD60">
            <v>1.082E-2</v>
          </cell>
          <cell r="GE60">
            <v>2.18E-2</v>
          </cell>
          <cell r="GF60">
            <v>1.9300000000000001E-2</v>
          </cell>
          <cell r="GG60">
            <v>1.9799999999999998E-2</v>
          </cell>
          <cell r="GH60">
            <v>1.6299999999999999E-2</v>
          </cell>
          <cell r="GI60">
            <v>2.18E-2</v>
          </cell>
          <cell r="GJ60">
            <v>1.9300000000000001E-2</v>
          </cell>
          <cell r="GK60">
            <v>1.9799999999999998E-2</v>
          </cell>
          <cell r="GL60">
            <v>1.6299999999999999E-2</v>
          </cell>
          <cell r="GM60">
            <v>2.426E-2</v>
          </cell>
          <cell r="GN60">
            <v>1.9060000000000001E-2</v>
          </cell>
          <cell r="GO60">
            <v>1.8419999999999999E-2</v>
          </cell>
          <cell r="GP60">
            <v>1.257E-2</v>
          </cell>
          <cell r="GQ60">
            <v>2.666E-2</v>
          </cell>
          <cell r="GR60">
            <v>1.9720000000000001E-2</v>
          </cell>
          <cell r="GS60">
            <v>2.1270000000000001E-2</v>
          </cell>
          <cell r="GT60">
            <v>1.5820000000000001E-2</v>
          </cell>
          <cell r="GU60">
            <v>1.601E-2</v>
          </cell>
          <cell r="GV60">
            <v>1.0529999999999999E-2</v>
          </cell>
          <cell r="GW60">
            <v>2.1270000000000001E-2</v>
          </cell>
          <cell r="GX60">
            <v>1.5820000000000001E-2</v>
          </cell>
          <cell r="GY60">
            <v>1.601E-2</v>
          </cell>
          <cell r="GZ60">
            <v>1.0529999999999999E-2</v>
          </cell>
          <cell r="HA60">
            <v>2.18E-2</v>
          </cell>
          <cell r="HB60">
            <v>1.9300000000000001E-2</v>
          </cell>
          <cell r="HC60">
            <v>1.9799999999999998E-2</v>
          </cell>
          <cell r="HD60">
            <v>1.6299999999999999E-2</v>
          </cell>
          <cell r="HE60">
            <v>2.18E-2</v>
          </cell>
          <cell r="HF60">
            <v>1.9300000000000001E-2</v>
          </cell>
          <cell r="HG60">
            <v>1.9799999999999998E-2</v>
          </cell>
          <cell r="HH60">
            <v>1.6299999999999999E-2</v>
          </cell>
          <cell r="HI60">
            <v>2.4340000000000001E-2</v>
          </cell>
          <cell r="HJ60">
            <v>1.7979999999999999E-2</v>
          </cell>
          <cell r="HK60">
            <v>1.8429999999999998E-2</v>
          </cell>
          <cell r="HL60">
            <v>1.1849999999999999E-2</v>
          </cell>
          <cell r="HM60">
            <v>2.6980000000000001E-2</v>
          </cell>
          <cell r="HN60">
            <v>1.8870000000000001E-2</v>
          </cell>
          <cell r="HO60">
            <v>2.1270000000000001E-2</v>
          </cell>
          <cell r="HP60">
            <v>1.5570000000000001E-2</v>
          </cell>
          <cell r="HQ60">
            <v>1.602E-2</v>
          </cell>
          <cell r="HR60">
            <v>1.0529999999999999E-2</v>
          </cell>
          <cell r="HS60">
            <v>2.1270000000000001E-2</v>
          </cell>
          <cell r="HT60">
            <v>1.5570000000000001E-2</v>
          </cell>
          <cell r="HU60">
            <v>1.602E-2</v>
          </cell>
          <cell r="HV60">
            <v>1.0529999999999999E-2</v>
          </cell>
          <cell r="HW60" t="str">
            <v>%PPL</v>
          </cell>
        </row>
        <row r="61">
          <cell r="AV61" t="str">
            <v>7750 SR-s RTU License /Upgrade</v>
          </cell>
          <cell r="AW61">
            <v>0.73</v>
          </cell>
          <cell r="AX61">
            <v>0.7</v>
          </cell>
          <cell r="AY61">
            <v>0.73</v>
          </cell>
          <cell r="AZ61">
            <v>0.75</v>
          </cell>
          <cell r="BA61">
            <v>0.71299999999999997</v>
          </cell>
          <cell r="BB61">
            <v>0.75</v>
          </cell>
          <cell r="BC61">
            <v>0.75</v>
          </cell>
          <cell r="BD61">
            <v>0.71299999999999997</v>
          </cell>
          <cell r="BE61">
            <v>0.75</v>
          </cell>
          <cell r="BF61">
            <v>0.75</v>
          </cell>
          <cell r="BG61">
            <v>0.7</v>
          </cell>
          <cell r="BH61">
            <v>0.75</v>
          </cell>
          <cell r="BI61">
            <v>0.77</v>
          </cell>
          <cell r="BJ61">
            <v>0.6</v>
          </cell>
          <cell r="BK61">
            <v>2.5000000000000001E-2</v>
          </cell>
          <cell r="BL61" t="str">
            <v>%PMP</v>
          </cell>
          <cell r="BM61">
            <v>1.83E-2</v>
          </cell>
          <cell r="BN61">
            <v>1.4800000000000001E-2</v>
          </cell>
          <cell r="BO61">
            <v>1.5299999999999999E-2</v>
          </cell>
          <cell r="BP61">
            <v>1.18E-2</v>
          </cell>
          <cell r="BQ61">
            <v>1.83E-2</v>
          </cell>
          <cell r="BR61">
            <v>1.4800000000000001E-2</v>
          </cell>
          <cell r="BS61">
            <v>1.5299999999999999E-2</v>
          </cell>
          <cell r="BT61">
            <v>1.18E-2</v>
          </cell>
          <cell r="BU61">
            <v>1.2699999999999999E-2</v>
          </cell>
          <cell r="BV61">
            <v>6.6674999999999998E-3</v>
          </cell>
          <cell r="BW61">
            <v>9.6200000000000001E-3</v>
          </cell>
          <cell r="BX61">
            <v>3.8661509433962271E-3</v>
          </cell>
          <cell r="BY61">
            <v>1.397E-2</v>
          </cell>
          <cell r="BZ61">
            <v>7.8581250000000005E-3</v>
          </cell>
          <cell r="CA61">
            <v>1.0160000000000001E-2</v>
          </cell>
          <cell r="CB61">
            <v>5.3299999999999997E-3</v>
          </cell>
          <cell r="CC61">
            <v>7.6899999999999998E-3</v>
          </cell>
          <cell r="CD61">
            <v>3.0899999999999999E-3</v>
          </cell>
          <cell r="CE61">
            <v>1.0160000000000001E-2</v>
          </cell>
          <cell r="CF61">
            <v>5.3299999999999997E-3</v>
          </cell>
          <cell r="CG61">
            <v>7.6899999999999998E-3</v>
          </cell>
          <cell r="CH61">
            <v>3.0899999999999999E-3</v>
          </cell>
          <cell r="CI61">
            <v>2.3900000000000001E-2</v>
          </cell>
          <cell r="CJ61">
            <v>2.0399999999999998E-2</v>
          </cell>
          <cell r="CK61">
            <v>2.1700000000000001E-2</v>
          </cell>
          <cell r="CL61">
            <v>1.8200000000000001E-2</v>
          </cell>
          <cell r="CM61">
            <v>2.3900000000000001E-2</v>
          </cell>
          <cell r="CN61">
            <v>2.0399999999999998E-2</v>
          </cell>
          <cell r="CO61">
            <v>2.1700000000000001E-2</v>
          </cell>
          <cell r="CP61">
            <v>1.8200000000000001E-2</v>
          </cell>
          <cell r="CQ61">
            <v>1.1204909638189858E-2</v>
          </cell>
          <cell r="CR61">
            <v>5.5675951002205609E-3</v>
          </cell>
          <cell r="CS61">
            <v>9.6113224896473004E-3</v>
          </cell>
          <cell r="CT61">
            <v>3.8544889155373114E-3</v>
          </cell>
          <cell r="CU61">
            <v>1.233038056184804E-2</v>
          </cell>
          <cell r="CV61">
            <v>6.5635870680596595E-3</v>
          </cell>
          <cell r="CW61">
            <v>8.9639277105518864E-3</v>
          </cell>
          <cell r="CX61">
            <v>4.5018836946327245E-3</v>
          </cell>
          <cell r="CY61">
            <v>7.6591782326826674E-3</v>
          </cell>
          <cell r="CZ61">
            <v>3.0776151806228141E-3</v>
          </cell>
          <cell r="DA61">
            <v>8.9639277105518864E-3</v>
          </cell>
          <cell r="DB61">
            <v>4.5018836946327245E-3</v>
          </cell>
          <cell r="DC61">
            <v>7.6591782326826674E-3</v>
          </cell>
          <cell r="DD61">
            <v>3.0776151806228141E-3</v>
          </cell>
          <cell r="DE61">
            <v>1.2699999999999999E-2</v>
          </cell>
          <cell r="DF61">
            <v>8.6599999999999993E-3</v>
          </cell>
          <cell r="DG61">
            <v>1.1135507246376811E-2</v>
          </cell>
          <cell r="DH61">
            <v>7.9144927536231886E-3</v>
          </cell>
          <cell r="DI61">
            <v>2.4400000000000002E-2</v>
          </cell>
          <cell r="DJ61">
            <v>2.0899999999999998E-2</v>
          </cell>
          <cell r="DK61">
            <v>2.1499999999999998E-2</v>
          </cell>
          <cell r="DL61">
            <v>1.7999999999999999E-2</v>
          </cell>
          <cell r="DM61">
            <v>1.38E-2</v>
          </cell>
          <cell r="DN61">
            <v>1.03E-2</v>
          </cell>
          <cell r="DO61">
            <v>1.21E-2</v>
          </cell>
          <cell r="DP61">
            <v>8.6E-3</v>
          </cell>
          <cell r="DQ61">
            <v>1.38E-2</v>
          </cell>
          <cell r="DR61">
            <v>1.03E-2</v>
          </cell>
          <cell r="DS61">
            <v>1.21E-2</v>
          </cell>
          <cell r="DT61">
            <v>8.6E-3</v>
          </cell>
          <cell r="DU61">
            <v>9.9799999999999993E-3</v>
          </cell>
          <cell r="DV61">
            <v>6.1199999999999996E-3</v>
          </cell>
          <cell r="DW61">
            <v>8.8500000000000002E-3</v>
          </cell>
          <cell r="DX61">
            <v>4.5399999999999998E-3</v>
          </cell>
          <cell r="DY61">
            <v>1.1010000000000001E-2</v>
          </cell>
          <cell r="DZ61">
            <v>6.8100000000000001E-3</v>
          </cell>
          <cell r="EA61">
            <v>8.2799999999999992E-3</v>
          </cell>
          <cell r="EB61">
            <v>5.1000000000000004E-3</v>
          </cell>
          <cell r="EC61">
            <v>7.3699999999999998E-3</v>
          </cell>
          <cell r="ED61">
            <v>3.7399999999999998E-3</v>
          </cell>
          <cell r="EE61">
            <v>8.2799999999999992E-3</v>
          </cell>
          <cell r="EF61">
            <v>5.1000000000000004E-3</v>
          </cell>
          <cell r="EG61">
            <v>7.3699999999999998E-3</v>
          </cell>
          <cell r="EH61">
            <v>3.7399999999999998E-3</v>
          </cell>
          <cell r="EI61">
            <v>1.83E-2</v>
          </cell>
          <cell r="EJ61">
            <v>1.4800000000000001E-2</v>
          </cell>
          <cell r="EK61">
            <v>1.61E-2</v>
          </cell>
          <cell r="EL61">
            <v>1.26E-2</v>
          </cell>
          <cell r="EM61">
            <v>1.0999999999999999E-2</v>
          </cell>
          <cell r="EN61">
            <v>7.5000000000000006E-3</v>
          </cell>
          <cell r="EO61">
            <v>9.6999999999999986E-3</v>
          </cell>
          <cell r="EP61">
            <v>6.2000000000000006E-3</v>
          </cell>
          <cell r="EQ61">
            <v>1.0999999999999999E-2</v>
          </cell>
          <cell r="ER61">
            <v>7.5000000000000006E-3</v>
          </cell>
          <cell r="ES61">
            <v>9.6999999999999986E-3</v>
          </cell>
          <cell r="ET61">
            <v>6.2000000000000006E-3</v>
          </cell>
          <cell r="EU61">
            <v>9.9799999999999993E-3</v>
          </cell>
          <cell r="EV61">
            <v>6.1199999999999996E-3</v>
          </cell>
          <cell r="EW61">
            <v>8.8500000000000002E-3</v>
          </cell>
          <cell r="EX61">
            <v>4.5399999999999998E-3</v>
          </cell>
          <cell r="EY61">
            <v>1.1010000000000001E-2</v>
          </cell>
          <cell r="EZ61">
            <v>6.8100000000000001E-3</v>
          </cell>
          <cell r="FA61">
            <v>8.2799999999999992E-3</v>
          </cell>
          <cell r="FB61">
            <v>5.1000000000000004E-3</v>
          </cell>
          <cell r="FC61">
            <v>7.3699999999999998E-3</v>
          </cell>
          <cell r="FD61">
            <v>3.7399999999999998E-3</v>
          </cell>
          <cell r="FE61">
            <v>8.2799999999999992E-3</v>
          </cell>
          <cell r="FF61">
            <v>5.1000000000000004E-3</v>
          </cell>
          <cell r="FG61">
            <v>7.3699999999999998E-3</v>
          </cell>
          <cell r="FH61">
            <v>3.7399999999999998E-3</v>
          </cell>
          <cell r="FI61">
            <v>2.76E-2</v>
          </cell>
          <cell r="FJ61">
            <v>2.4E-2</v>
          </cell>
          <cell r="FK61">
            <v>2.47E-2</v>
          </cell>
          <cell r="FL61">
            <v>2.1100000000000001E-2</v>
          </cell>
          <cell r="FM61">
            <v>2.76E-2</v>
          </cell>
          <cell r="FN61">
            <v>2.4E-2</v>
          </cell>
          <cell r="FO61">
            <v>2.47E-2</v>
          </cell>
          <cell r="FP61">
            <v>2.1100000000000001E-2</v>
          </cell>
          <cell r="FQ61">
            <v>2.426E-2</v>
          </cell>
          <cell r="FR61">
            <v>1.9060000000000001E-2</v>
          </cell>
          <cell r="FS61">
            <v>1.8419999999999999E-2</v>
          </cell>
          <cell r="FT61">
            <v>1.257E-2</v>
          </cell>
          <cell r="FU61">
            <v>2.666E-2</v>
          </cell>
          <cell r="FV61">
            <v>1.9720000000000001E-2</v>
          </cell>
          <cell r="FW61">
            <v>2.1010000000000001E-2</v>
          </cell>
          <cell r="FX61">
            <v>1.6459999999999999E-2</v>
          </cell>
          <cell r="FY61">
            <v>1.5810000000000001E-2</v>
          </cell>
          <cell r="FZ61">
            <v>1.082E-2</v>
          </cell>
          <cell r="GA61">
            <v>2.1010000000000001E-2</v>
          </cell>
          <cell r="GB61">
            <v>1.6459999999999999E-2</v>
          </cell>
          <cell r="GC61">
            <v>1.5810000000000001E-2</v>
          </cell>
          <cell r="GD61">
            <v>1.082E-2</v>
          </cell>
          <cell r="GE61">
            <v>2.18E-2</v>
          </cell>
          <cell r="GF61">
            <v>1.9300000000000001E-2</v>
          </cell>
          <cell r="GG61">
            <v>1.9799999999999998E-2</v>
          </cell>
          <cell r="GH61">
            <v>1.6299999999999999E-2</v>
          </cell>
          <cell r="GI61">
            <v>2.18E-2</v>
          </cell>
          <cell r="GJ61">
            <v>1.9300000000000001E-2</v>
          </cell>
          <cell r="GK61">
            <v>1.9799999999999998E-2</v>
          </cell>
          <cell r="GL61">
            <v>1.6299999999999999E-2</v>
          </cell>
          <cell r="GM61">
            <v>2.426E-2</v>
          </cell>
          <cell r="GN61">
            <v>1.9060000000000001E-2</v>
          </cell>
          <cell r="GO61">
            <v>1.8419999999999999E-2</v>
          </cell>
          <cell r="GP61">
            <v>1.257E-2</v>
          </cell>
          <cell r="GQ61">
            <v>2.666E-2</v>
          </cell>
          <cell r="GR61">
            <v>1.9720000000000001E-2</v>
          </cell>
          <cell r="GS61">
            <v>2.1270000000000001E-2</v>
          </cell>
          <cell r="GT61">
            <v>1.5820000000000001E-2</v>
          </cell>
          <cell r="GU61">
            <v>1.601E-2</v>
          </cell>
          <cell r="GV61">
            <v>1.0529999999999999E-2</v>
          </cell>
          <cell r="GW61">
            <v>2.1270000000000001E-2</v>
          </cell>
          <cell r="GX61">
            <v>1.5820000000000001E-2</v>
          </cell>
          <cell r="GY61">
            <v>1.601E-2</v>
          </cell>
          <cell r="GZ61">
            <v>1.0529999999999999E-2</v>
          </cell>
          <cell r="HA61">
            <v>2.18E-2</v>
          </cell>
          <cell r="HB61">
            <v>1.9300000000000001E-2</v>
          </cell>
          <cell r="HC61">
            <v>1.9799999999999998E-2</v>
          </cell>
          <cell r="HD61">
            <v>1.6299999999999999E-2</v>
          </cell>
          <cell r="HE61">
            <v>2.18E-2</v>
          </cell>
          <cell r="HF61">
            <v>1.9300000000000001E-2</v>
          </cell>
          <cell r="HG61">
            <v>1.9799999999999998E-2</v>
          </cell>
          <cell r="HH61">
            <v>1.6299999999999999E-2</v>
          </cell>
          <cell r="HI61">
            <v>2.4340000000000001E-2</v>
          </cell>
          <cell r="HJ61">
            <v>1.7979999999999999E-2</v>
          </cell>
          <cell r="HK61">
            <v>1.8429999999999998E-2</v>
          </cell>
          <cell r="HL61">
            <v>1.1849999999999999E-2</v>
          </cell>
          <cell r="HM61">
            <v>2.6980000000000001E-2</v>
          </cell>
          <cell r="HN61">
            <v>1.8870000000000001E-2</v>
          </cell>
          <cell r="HO61">
            <v>2.1270000000000001E-2</v>
          </cell>
          <cell r="HP61">
            <v>1.5570000000000001E-2</v>
          </cell>
          <cell r="HQ61">
            <v>1.602E-2</v>
          </cell>
          <cell r="HR61">
            <v>1.0529999999999999E-2</v>
          </cell>
          <cell r="HS61">
            <v>2.1270000000000001E-2</v>
          </cell>
          <cell r="HT61">
            <v>1.5570000000000001E-2</v>
          </cell>
          <cell r="HU61">
            <v>1.602E-2</v>
          </cell>
          <cell r="HV61">
            <v>1.0529999999999999E-2</v>
          </cell>
          <cell r="HW61" t="str">
            <v>%PPL</v>
          </cell>
        </row>
        <row r="62">
          <cell r="AV62" t="str">
            <v>7750 SR-s XCM</v>
          </cell>
          <cell r="AW62">
            <v>0.73</v>
          </cell>
          <cell r="AX62">
            <v>0.7</v>
          </cell>
          <cell r="AY62">
            <v>0.73</v>
          </cell>
          <cell r="AZ62">
            <v>0.75</v>
          </cell>
          <cell r="BA62">
            <v>0.71299999999999997</v>
          </cell>
          <cell r="BB62">
            <v>0.75</v>
          </cell>
          <cell r="BC62">
            <v>0.75</v>
          </cell>
          <cell r="BD62">
            <v>0.71299999999999997</v>
          </cell>
          <cell r="BE62">
            <v>0.75</v>
          </cell>
          <cell r="BF62">
            <v>0.78</v>
          </cell>
          <cell r="BG62">
            <v>0.75</v>
          </cell>
          <cell r="BH62">
            <v>0.75</v>
          </cell>
          <cell r="BI62">
            <v>0.77</v>
          </cell>
          <cell r="BJ62">
            <v>0.6</v>
          </cell>
          <cell r="BK62">
            <v>2.5000000000000001E-2</v>
          </cell>
          <cell r="BL62" t="str">
            <v>%PMP</v>
          </cell>
          <cell r="BM62">
            <v>1.83E-2</v>
          </cell>
          <cell r="BN62">
            <v>1.4800000000000001E-2</v>
          </cell>
          <cell r="BO62">
            <v>1.5299999999999999E-2</v>
          </cell>
          <cell r="BP62">
            <v>1.18E-2</v>
          </cell>
          <cell r="BQ62">
            <v>1.83E-2</v>
          </cell>
          <cell r="BR62">
            <v>1.4800000000000001E-2</v>
          </cell>
          <cell r="BS62">
            <v>1.5299999999999999E-2</v>
          </cell>
          <cell r="BT62">
            <v>1.18E-2</v>
          </cell>
          <cell r="BU62">
            <v>1.2699999999999999E-2</v>
          </cell>
          <cell r="BV62">
            <v>6.6674999999999998E-3</v>
          </cell>
          <cell r="BW62">
            <v>9.6200000000000001E-3</v>
          </cell>
          <cell r="BX62">
            <v>3.8661509433962271E-3</v>
          </cell>
          <cell r="BY62">
            <v>1.397E-2</v>
          </cell>
          <cell r="BZ62">
            <v>7.8581250000000005E-3</v>
          </cell>
          <cell r="CA62">
            <v>1.0160000000000001E-2</v>
          </cell>
          <cell r="CB62">
            <v>5.3299999999999997E-3</v>
          </cell>
          <cell r="CC62">
            <v>7.6899999999999998E-3</v>
          </cell>
          <cell r="CD62">
            <v>3.0899999999999999E-3</v>
          </cell>
          <cell r="CE62">
            <v>1.0160000000000001E-2</v>
          </cell>
          <cell r="CF62">
            <v>5.3299999999999997E-3</v>
          </cell>
          <cell r="CG62">
            <v>7.6899999999999998E-3</v>
          </cell>
          <cell r="CH62">
            <v>3.0899999999999999E-3</v>
          </cell>
          <cell r="CI62">
            <v>2.3900000000000001E-2</v>
          </cell>
          <cell r="CJ62">
            <v>2.0399999999999998E-2</v>
          </cell>
          <cell r="CK62">
            <v>2.1700000000000001E-2</v>
          </cell>
          <cell r="CL62">
            <v>1.8200000000000001E-2</v>
          </cell>
          <cell r="CM62">
            <v>2.3900000000000001E-2</v>
          </cell>
          <cell r="CN62">
            <v>2.0399999999999998E-2</v>
          </cell>
          <cell r="CO62">
            <v>2.1700000000000001E-2</v>
          </cell>
          <cell r="CP62">
            <v>1.8200000000000001E-2</v>
          </cell>
          <cell r="CQ62">
            <v>1.1204909638189858E-2</v>
          </cell>
          <cell r="CR62">
            <v>5.5675951002205609E-3</v>
          </cell>
          <cell r="CS62">
            <v>9.6113224896473004E-3</v>
          </cell>
          <cell r="CT62">
            <v>3.8544889155373114E-3</v>
          </cell>
          <cell r="CU62">
            <v>1.233038056184804E-2</v>
          </cell>
          <cell r="CV62">
            <v>6.5635870680596595E-3</v>
          </cell>
          <cell r="CW62">
            <v>8.9639277105518864E-3</v>
          </cell>
          <cell r="CX62">
            <v>4.5018836946327245E-3</v>
          </cell>
          <cell r="CY62">
            <v>7.6591782326826674E-3</v>
          </cell>
          <cell r="CZ62">
            <v>3.0776151806228141E-3</v>
          </cell>
          <cell r="DA62">
            <v>8.9639277105518864E-3</v>
          </cell>
          <cell r="DB62">
            <v>4.5018836946327245E-3</v>
          </cell>
          <cell r="DC62">
            <v>7.6591782326826674E-3</v>
          </cell>
          <cell r="DD62">
            <v>3.0776151806228141E-3</v>
          </cell>
          <cell r="DE62">
            <v>1.2699999999999999E-2</v>
          </cell>
          <cell r="DF62">
            <v>8.6599999999999993E-3</v>
          </cell>
          <cell r="DG62">
            <v>1.1135507246376811E-2</v>
          </cell>
          <cell r="DH62">
            <v>7.9144927536231886E-3</v>
          </cell>
          <cell r="DI62">
            <v>2.4400000000000002E-2</v>
          </cell>
          <cell r="DJ62">
            <v>2.0899999999999998E-2</v>
          </cell>
          <cell r="DK62">
            <v>2.1499999999999998E-2</v>
          </cell>
          <cell r="DL62">
            <v>1.7999999999999999E-2</v>
          </cell>
          <cell r="DM62">
            <v>1.38E-2</v>
          </cell>
          <cell r="DN62">
            <v>1.03E-2</v>
          </cell>
          <cell r="DO62">
            <v>1.21E-2</v>
          </cell>
          <cell r="DP62">
            <v>8.6E-3</v>
          </cell>
          <cell r="DQ62">
            <v>1.38E-2</v>
          </cell>
          <cell r="DR62">
            <v>1.03E-2</v>
          </cell>
          <cell r="DS62">
            <v>1.21E-2</v>
          </cell>
          <cell r="DT62">
            <v>8.6E-3</v>
          </cell>
          <cell r="DU62">
            <v>9.9799999999999993E-3</v>
          </cell>
          <cell r="DV62">
            <v>6.1199999999999996E-3</v>
          </cell>
          <cell r="DW62">
            <v>8.8500000000000002E-3</v>
          </cell>
          <cell r="DX62">
            <v>4.5399999999999998E-3</v>
          </cell>
          <cell r="DY62">
            <v>1.1010000000000001E-2</v>
          </cell>
          <cell r="DZ62">
            <v>6.8100000000000001E-3</v>
          </cell>
          <cell r="EA62">
            <v>8.2799999999999992E-3</v>
          </cell>
          <cell r="EB62">
            <v>5.1000000000000004E-3</v>
          </cell>
          <cell r="EC62">
            <v>7.3699999999999998E-3</v>
          </cell>
          <cell r="ED62">
            <v>3.7399999999999998E-3</v>
          </cell>
          <cell r="EE62">
            <v>8.2799999999999992E-3</v>
          </cell>
          <cell r="EF62">
            <v>5.1000000000000004E-3</v>
          </cell>
          <cell r="EG62">
            <v>7.3699999999999998E-3</v>
          </cell>
          <cell r="EH62">
            <v>3.7399999999999998E-3</v>
          </cell>
          <cell r="EI62">
            <v>2.4400000000000002E-2</v>
          </cell>
          <cell r="EJ62">
            <v>2.0899999999999998E-2</v>
          </cell>
          <cell r="EK62">
            <v>2.1499999999999998E-2</v>
          </cell>
          <cell r="EL62">
            <v>1.7999999999999999E-2</v>
          </cell>
          <cell r="EM62">
            <v>1.38E-2</v>
          </cell>
          <cell r="EN62">
            <v>1.03E-2</v>
          </cell>
          <cell r="EO62">
            <v>1.21E-2</v>
          </cell>
          <cell r="EP62">
            <v>8.6E-3</v>
          </cell>
          <cell r="EQ62">
            <v>1.38E-2</v>
          </cell>
          <cell r="ER62">
            <v>1.03E-2</v>
          </cell>
          <cell r="ES62">
            <v>1.21E-2</v>
          </cell>
          <cell r="ET62">
            <v>8.6E-3</v>
          </cell>
          <cell r="EU62">
            <v>9.9799999999999993E-3</v>
          </cell>
          <cell r="EV62">
            <v>6.1199999999999996E-3</v>
          </cell>
          <cell r="EW62">
            <v>8.8500000000000002E-3</v>
          </cell>
          <cell r="EX62">
            <v>4.5399999999999998E-3</v>
          </cell>
          <cell r="EY62">
            <v>1.1010000000000001E-2</v>
          </cell>
          <cell r="EZ62">
            <v>6.8100000000000001E-3</v>
          </cell>
          <cell r="FA62">
            <v>8.2799999999999992E-3</v>
          </cell>
          <cell r="FB62">
            <v>5.1000000000000004E-3</v>
          </cell>
          <cell r="FC62">
            <v>7.3699999999999998E-3</v>
          </cell>
          <cell r="FD62">
            <v>3.7399999999999998E-3</v>
          </cell>
          <cell r="FE62">
            <v>8.2799999999999992E-3</v>
          </cell>
          <cell r="FF62">
            <v>5.1000000000000004E-3</v>
          </cell>
          <cell r="FG62">
            <v>7.3699999999999998E-3</v>
          </cell>
          <cell r="FH62">
            <v>3.7399999999999998E-3</v>
          </cell>
          <cell r="FI62">
            <v>2.76E-2</v>
          </cell>
          <cell r="FJ62">
            <v>2.4E-2</v>
          </cell>
          <cell r="FK62">
            <v>2.47E-2</v>
          </cell>
          <cell r="FL62">
            <v>2.1100000000000001E-2</v>
          </cell>
          <cell r="FM62">
            <v>2.76E-2</v>
          </cell>
          <cell r="FN62">
            <v>2.4E-2</v>
          </cell>
          <cell r="FO62">
            <v>2.47E-2</v>
          </cell>
          <cell r="FP62">
            <v>2.1100000000000001E-2</v>
          </cell>
          <cell r="FQ62">
            <v>2.426E-2</v>
          </cell>
          <cell r="FR62">
            <v>1.9060000000000001E-2</v>
          </cell>
          <cell r="FS62">
            <v>1.8419999999999999E-2</v>
          </cell>
          <cell r="FT62">
            <v>1.257E-2</v>
          </cell>
          <cell r="FU62">
            <v>2.666E-2</v>
          </cell>
          <cell r="FV62">
            <v>1.9720000000000001E-2</v>
          </cell>
          <cell r="FW62">
            <v>2.1010000000000001E-2</v>
          </cell>
          <cell r="FX62">
            <v>1.6459999999999999E-2</v>
          </cell>
          <cell r="FY62">
            <v>1.5810000000000001E-2</v>
          </cell>
          <cell r="FZ62">
            <v>1.082E-2</v>
          </cell>
          <cell r="GA62">
            <v>2.1010000000000001E-2</v>
          </cell>
          <cell r="GB62">
            <v>1.6459999999999999E-2</v>
          </cell>
          <cell r="GC62">
            <v>1.5810000000000001E-2</v>
          </cell>
          <cell r="GD62">
            <v>1.082E-2</v>
          </cell>
          <cell r="GE62">
            <v>2.18E-2</v>
          </cell>
          <cell r="GF62">
            <v>1.9300000000000001E-2</v>
          </cell>
          <cell r="GG62">
            <v>1.9799999999999998E-2</v>
          </cell>
          <cell r="GH62">
            <v>1.6299999999999999E-2</v>
          </cell>
          <cell r="GI62">
            <v>2.18E-2</v>
          </cell>
          <cell r="GJ62">
            <v>1.9300000000000001E-2</v>
          </cell>
          <cell r="GK62">
            <v>1.9799999999999998E-2</v>
          </cell>
          <cell r="GL62">
            <v>1.6299999999999999E-2</v>
          </cell>
          <cell r="GM62">
            <v>2.426E-2</v>
          </cell>
          <cell r="GN62">
            <v>1.9060000000000001E-2</v>
          </cell>
          <cell r="GO62">
            <v>1.8419999999999999E-2</v>
          </cell>
          <cell r="GP62">
            <v>1.257E-2</v>
          </cell>
          <cell r="GQ62">
            <v>2.666E-2</v>
          </cell>
          <cell r="GR62">
            <v>1.9720000000000001E-2</v>
          </cell>
          <cell r="GS62">
            <v>2.1270000000000001E-2</v>
          </cell>
          <cell r="GT62">
            <v>1.5820000000000001E-2</v>
          </cell>
          <cell r="GU62">
            <v>1.601E-2</v>
          </cell>
          <cell r="GV62">
            <v>1.0529999999999999E-2</v>
          </cell>
          <cell r="GW62">
            <v>2.1270000000000001E-2</v>
          </cell>
          <cell r="GX62">
            <v>1.5820000000000001E-2</v>
          </cell>
          <cell r="GY62">
            <v>1.601E-2</v>
          </cell>
          <cell r="GZ62">
            <v>1.0529999999999999E-2</v>
          </cell>
          <cell r="HA62">
            <v>2.18E-2</v>
          </cell>
          <cell r="HB62">
            <v>1.9300000000000001E-2</v>
          </cell>
          <cell r="HC62">
            <v>1.9799999999999998E-2</v>
          </cell>
          <cell r="HD62">
            <v>1.6299999999999999E-2</v>
          </cell>
          <cell r="HE62">
            <v>2.18E-2</v>
          </cell>
          <cell r="HF62">
            <v>1.9300000000000001E-2</v>
          </cell>
          <cell r="HG62">
            <v>1.9799999999999998E-2</v>
          </cell>
          <cell r="HH62">
            <v>1.6299999999999999E-2</v>
          </cell>
          <cell r="HI62">
            <v>2.4340000000000001E-2</v>
          </cell>
          <cell r="HJ62">
            <v>1.7979999999999999E-2</v>
          </cell>
          <cell r="HK62">
            <v>1.8429999999999998E-2</v>
          </cell>
          <cell r="HL62">
            <v>1.1849999999999999E-2</v>
          </cell>
          <cell r="HM62">
            <v>2.6980000000000001E-2</v>
          </cell>
          <cell r="HN62">
            <v>1.8870000000000001E-2</v>
          </cell>
          <cell r="HO62">
            <v>2.1270000000000001E-2</v>
          </cell>
          <cell r="HP62">
            <v>1.5570000000000001E-2</v>
          </cell>
          <cell r="HQ62">
            <v>1.602E-2</v>
          </cell>
          <cell r="HR62">
            <v>1.0529999999999999E-2</v>
          </cell>
          <cell r="HS62">
            <v>2.1270000000000001E-2</v>
          </cell>
          <cell r="HT62">
            <v>1.5570000000000001E-2</v>
          </cell>
          <cell r="HU62">
            <v>1.602E-2</v>
          </cell>
          <cell r="HV62">
            <v>1.0529999999999999E-2</v>
          </cell>
          <cell r="HW62" t="str">
            <v>%PPL</v>
          </cell>
        </row>
        <row r="63">
          <cell r="AV63" t="str">
            <v>7750 SR-s XMA</v>
          </cell>
          <cell r="AW63">
            <v>0.73</v>
          </cell>
          <cell r="AX63">
            <v>0.7</v>
          </cell>
          <cell r="AY63">
            <v>0.73</v>
          </cell>
          <cell r="AZ63">
            <v>0.75</v>
          </cell>
          <cell r="BA63">
            <v>0.71299999999999997</v>
          </cell>
          <cell r="BB63">
            <v>0.75</v>
          </cell>
          <cell r="BC63">
            <v>0.75</v>
          </cell>
          <cell r="BD63">
            <v>0.71299999999999997</v>
          </cell>
          <cell r="BE63">
            <v>0.75</v>
          </cell>
          <cell r="BF63">
            <v>0.78</v>
          </cell>
          <cell r="BG63">
            <v>0.75</v>
          </cell>
          <cell r="BH63">
            <v>0.75</v>
          </cell>
          <cell r="BI63">
            <v>0.77</v>
          </cell>
          <cell r="BJ63">
            <v>0.6</v>
          </cell>
          <cell r="BK63">
            <v>2.5000000000000001E-2</v>
          </cell>
          <cell r="BL63" t="str">
            <v>%PMP</v>
          </cell>
          <cell r="BM63">
            <v>1.83E-2</v>
          </cell>
          <cell r="BN63">
            <v>1.4800000000000001E-2</v>
          </cell>
          <cell r="BO63">
            <v>1.5299999999999999E-2</v>
          </cell>
          <cell r="BP63">
            <v>1.18E-2</v>
          </cell>
          <cell r="BQ63">
            <v>1.83E-2</v>
          </cell>
          <cell r="BR63">
            <v>1.4800000000000001E-2</v>
          </cell>
          <cell r="BS63">
            <v>1.5299999999999999E-2</v>
          </cell>
          <cell r="BT63">
            <v>1.18E-2</v>
          </cell>
          <cell r="BU63">
            <v>1.2699999999999999E-2</v>
          </cell>
          <cell r="BV63">
            <v>6.6674999999999998E-3</v>
          </cell>
          <cell r="BW63">
            <v>9.6200000000000001E-3</v>
          </cell>
          <cell r="BX63">
            <v>3.8661509433962271E-3</v>
          </cell>
          <cell r="BY63">
            <v>1.397E-2</v>
          </cell>
          <cell r="BZ63">
            <v>7.8581250000000005E-3</v>
          </cell>
          <cell r="CA63">
            <v>1.0160000000000001E-2</v>
          </cell>
          <cell r="CB63">
            <v>5.3299999999999997E-3</v>
          </cell>
          <cell r="CC63">
            <v>7.6899999999999998E-3</v>
          </cell>
          <cell r="CD63">
            <v>3.0899999999999999E-3</v>
          </cell>
          <cell r="CE63">
            <v>1.0160000000000001E-2</v>
          </cell>
          <cell r="CF63">
            <v>5.3299999999999997E-3</v>
          </cell>
          <cell r="CG63">
            <v>7.6899999999999998E-3</v>
          </cell>
          <cell r="CH63">
            <v>3.0899999999999999E-3</v>
          </cell>
          <cell r="CI63">
            <v>2.3900000000000001E-2</v>
          </cell>
          <cell r="CJ63">
            <v>2.0399999999999998E-2</v>
          </cell>
          <cell r="CK63">
            <v>2.1700000000000001E-2</v>
          </cell>
          <cell r="CL63">
            <v>1.8200000000000001E-2</v>
          </cell>
          <cell r="CM63">
            <v>2.3900000000000001E-2</v>
          </cell>
          <cell r="CN63">
            <v>2.0399999999999998E-2</v>
          </cell>
          <cell r="CO63">
            <v>2.1700000000000001E-2</v>
          </cell>
          <cell r="CP63">
            <v>1.8200000000000001E-2</v>
          </cell>
          <cell r="CQ63">
            <v>1.1204909638189858E-2</v>
          </cell>
          <cell r="CR63">
            <v>5.5675951002205609E-3</v>
          </cell>
          <cell r="CS63">
            <v>9.6113224896473004E-3</v>
          </cell>
          <cell r="CT63">
            <v>3.8544889155373114E-3</v>
          </cell>
          <cell r="CU63">
            <v>1.233038056184804E-2</v>
          </cell>
          <cell r="CV63">
            <v>6.5635870680596595E-3</v>
          </cell>
          <cell r="CW63">
            <v>8.9639277105518864E-3</v>
          </cell>
          <cell r="CX63">
            <v>4.5018836946327245E-3</v>
          </cell>
          <cell r="CY63">
            <v>7.6591782326826674E-3</v>
          </cell>
          <cell r="CZ63">
            <v>3.0776151806228141E-3</v>
          </cell>
          <cell r="DA63">
            <v>8.9639277105518864E-3</v>
          </cell>
          <cell r="DB63">
            <v>4.5018836946327245E-3</v>
          </cell>
          <cell r="DC63">
            <v>7.6591782326826674E-3</v>
          </cell>
          <cell r="DD63">
            <v>3.0776151806228141E-3</v>
          </cell>
          <cell r="DE63">
            <v>1.2699999999999999E-2</v>
          </cell>
          <cell r="DF63">
            <v>8.6599999999999993E-3</v>
          </cell>
          <cell r="DG63">
            <v>1.1135507246376811E-2</v>
          </cell>
          <cell r="DH63">
            <v>7.9144927536231886E-3</v>
          </cell>
          <cell r="DI63">
            <v>2.4400000000000002E-2</v>
          </cell>
          <cell r="DJ63">
            <v>2.0899999999999998E-2</v>
          </cell>
          <cell r="DK63">
            <v>2.1499999999999998E-2</v>
          </cell>
          <cell r="DL63">
            <v>1.7999999999999999E-2</v>
          </cell>
          <cell r="DM63">
            <v>1.38E-2</v>
          </cell>
          <cell r="DN63">
            <v>1.03E-2</v>
          </cell>
          <cell r="DO63">
            <v>1.21E-2</v>
          </cell>
          <cell r="DP63">
            <v>8.6E-3</v>
          </cell>
          <cell r="DQ63">
            <v>1.38E-2</v>
          </cell>
          <cell r="DR63">
            <v>1.03E-2</v>
          </cell>
          <cell r="DS63">
            <v>1.21E-2</v>
          </cell>
          <cell r="DT63">
            <v>8.6E-3</v>
          </cell>
          <cell r="DU63">
            <v>9.9799999999999993E-3</v>
          </cell>
          <cell r="DV63">
            <v>6.1199999999999996E-3</v>
          </cell>
          <cell r="DW63">
            <v>8.8500000000000002E-3</v>
          </cell>
          <cell r="DX63">
            <v>4.5399999999999998E-3</v>
          </cell>
          <cell r="DY63">
            <v>1.1010000000000001E-2</v>
          </cell>
          <cell r="DZ63">
            <v>6.8100000000000001E-3</v>
          </cell>
          <cell r="EA63">
            <v>8.2799999999999992E-3</v>
          </cell>
          <cell r="EB63">
            <v>5.1000000000000004E-3</v>
          </cell>
          <cell r="EC63">
            <v>7.3699999999999998E-3</v>
          </cell>
          <cell r="ED63">
            <v>3.7399999999999998E-3</v>
          </cell>
          <cell r="EE63">
            <v>8.2799999999999992E-3</v>
          </cell>
          <cell r="EF63">
            <v>5.1000000000000004E-3</v>
          </cell>
          <cell r="EG63">
            <v>7.3699999999999998E-3</v>
          </cell>
          <cell r="EH63">
            <v>3.7399999999999998E-3</v>
          </cell>
          <cell r="EI63">
            <v>2.4400000000000002E-2</v>
          </cell>
          <cell r="EJ63">
            <v>2.0899999999999998E-2</v>
          </cell>
          <cell r="EK63">
            <v>2.1499999999999998E-2</v>
          </cell>
          <cell r="EL63">
            <v>1.7999999999999999E-2</v>
          </cell>
          <cell r="EM63">
            <v>1.38E-2</v>
          </cell>
          <cell r="EN63">
            <v>1.03E-2</v>
          </cell>
          <cell r="EO63">
            <v>1.21E-2</v>
          </cell>
          <cell r="EP63">
            <v>8.6E-3</v>
          </cell>
          <cell r="EQ63">
            <v>1.38E-2</v>
          </cell>
          <cell r="ER63">
            <v>1.03E-2</v>
          </cell>
          <cell r="ES63">
            <v>1.21E-2</v>
          </cell>
          <cell r="ET63">
            <v>8.6E-3</v>
          </cell>
          <cell r="EU63">
            <v>9.9799999999999993E-3</v>
          </cell>
          <cell r="EV63">
            <v>6.1199999999999996E-3</v>
          </cell>
          <cell r="EW63">
            <v>8.8500000000000002E-3</v>
          </cell>
          <cell r="EX63">
            <v>4.5399999999999998E-3</v>
          </cell>
          <cell r="EY63">
            <v>1.1010000000000001E-2</v>
          </cell>
          <cell r="EZ63">
            <v>6.8100000000000001E-3</v>
          </cell>
          <cell r="FA63">
            <v>8.2799999999999992E-3</v>
          </cell>
          <cell r="FB63">
            <v>5.1000000000000004E-3</v>
          </cell>
          <cell r="FC63">
            <v>7.3699999999999998E-3</v>
          </cell>
          <cell r="FD63">
            <v>3.7399999999999998E-3</v>
          </cell>
          <cell r="FE63">
            <v>8.2799999999999992E-3</v>
          </cell>
          <cell r="FF63">
            <v>5.1000000000000004E-3</v>
          </cell>
          <cell r="FG63">
            <v>7.3699999999999998E-3</v>
          </cell>
          <cell r="FH63">
            <v>3.7399999999999998E-3</v>
          </cell>
          <cell r="FI63">
            <v>2.76E-2</v>
          </cell>
          <cell r="FJ63">
            <v>2.4E-2</v>
          </cell>
          <cell r="FK63">
            <v>2.47E-2</v>
          </cell>
          <cell r="FL63">
            <v>2.1100000000000001E-2</v>
          </cell>
          <cell r="FM63">
            <v>2.76E-2</v>
          </cell>
          <cell r="FN63">
            <v>2.4E-2</v>
          </cell>
          <cell r="FO63">
            <v>2.47E-2</v>
          </cell>
          <cell r="FP63">
            <v>2.1100000000000001E-2</v>
          </cell>
          <cell r="FQ63">
            <v>2.426E-2</v>
          </cell>
          <cell r="FR63">
            <v>1.9060000000000001E-2</v>
          </cell>
          <cell r="FS63">
            <v>1.8419999999999999E-2</v>
          </cell>
          <cell r="FT63">
            <v>1.257E-2</v>
          </cell>
          <cell r="FU63">
            <v>2.666E-2</v>
          </cell>
          <cell r="FV63">
            <v>1.9720000000000001E-2</v>
          </cell>
          <cell r="FW63">
            <v>2.1010000000000001E-2</v>
          </cell>
          <cell r="FX63">
            <v>1.6459999999999999E-2</v>
          </cell>
          <cell r="FY63">
            <v>1.5810000000000001E-2</v>
          </cell>
          <cell r="FZ63">
            <v>1.082E-2</v>
          </cell>
          <cell r="GA63">
            <v>2.1010000000000001E-2</v>
          </cell>
          <cell r="GB63">
            <v>1.6459999999999999E-2</v>
          </cell>
          <cell r="GC63">
            <v>1.5810000000000001E-2</v>
          </cell>
          <cell r="GD63">
            <v>1.082E-2</v>
          </cell>
          <cell r="GE63">
            <v>2.18E-2</v>
          </cell>
          <cell r="GF63">
            <v>1.9300000000000001E-2</v>
          </cell>
          <cell r="GG63">
            <v>1.9799999999999998E-2</v>
          </cell>
          <cell r="GH63">
            <v>1.6299999999999999E-2</v>
          </cell>
          <cell r="GI63">
            <v>2.18E-2</v>
          </cell>
          <cell r="GJ63">
            <v>1.9300000000000001E-2</v>
          </cell>
          <cell r="GK63">
            <v>1.9799999999999998E-2</v>
          </cell>
          <cell r="GL63">
            <v>1.6299999999999999E-2</v>
          </cell>
          <cell r="GM63">
            <v>2.426E-2</v>
          </cell>
          <cell r="GN63">
            <v>1.9060000000000001E-2</v>
          </cell>
          <cell r="GO63">
            <v>1.8419999999999999E-2</v>
          </cell>
          <cell r="GP63">
            <v>1.257E-2</v>
          </cell>
          <cell r="GQ63">
            <v>2.666E-2</v>
          </cell>
          <cell r="GR63">
            <v>1.9720000000000001E-2</v>
          </cell>
          <cell r="GS63">
            <v>2.1270000000000001E-2</v>
          </cell>
          <cell r="GT63">
            <v>1.5820000000000001E-2</v>
          </cell>
          <cell r="GU63">
            <v>1.601E-2</v>
          </cell>
          <cell r="GV63">
            <v>1.0529999999999999E-2</v>
          </cell>
          <cell r="GW63">
            <v>2.1270000000000001E-2</v>
          </cell>
          <cell r="GX63">
            <v>1.5820000000000001E-2</v>
          </cell>
          <cell r="GY63">
            <v>1.601E-2</v>
          </cell>
          <cell r="GZ63">
            <v>1.0529999999999999E-2</v>
          </cell>
          <cell r="HA63">
            <v>2.18E-2</v>
          </cell>
          <cell r="HB63">
            <v>1.9300000000000001E-2</v>
          </cell>
          <cell r="HC63">
            <v>1.9799999999999998E-2</v>
          </cell>
          <cell r="HD63">
            <v>1.6299999999999999E-2</v>
          </cell>
          <cell r="HE63">
            <v>2.18E-2</v>
          </cell>
          <cell r="HF63">
            <v>1.9300000000000001E-2</v>
          </cell>
          <cell r="HG63">
            <v>1.9799999999999998E-2</v>
          </cell>
          <cell r="HH63">
            <v>1.6299999999999999E-2</v>
          </cell>
          <cell r="HI63">
            <v>2.4340000000000001E-2</v>
          </cell>
          <cell r="HJ63">
            <v>1.7979999999999999E-2</v>
          </cell>
          <cell r="HK63">
            <v>1.8429999999999998E-2</v>
          </cell>
          <cell r="HL63">
            <v>1.1849999999999999E-2</v>
          </cell>
          <cell r="HM63">
            <v>2.6980000000000001E-2</v>
          </cell>
          <cell r="HN63">
            <v>1.8870000000000001E-2</v>
          </cell>
          <cell r="HO63">
            <v>2.1270000000000001E-2</v>
          </cell>
          <cell r="HP63">
            <v>1.5570000000000001E-2</v>
          </cell>
          <cell r="HQ63">
            <v>1.602E-2</v>
          </cell>
          <cell r="HR63">
            <v>1.0529999999999999E-2</v>
          </cell>
          <cell r="HS63">
            <v>2.1270000000000001E-2</v>
          </cell>
          <cell r="HT63">
            <v>1.5570000000000001E-2</v>
          </cell>
          <cell r="HU63">
            <v>1.602E-2</v>
          </cell>
          <cell r="HV63">
            <v>1.0529999999999999E-2</v>
          </cell>
          <cell r="HW63" t="str">
            <v>%PPL</v>
          </cell>
        </row>
        <row r="64">
          <cell r="AV64" t="str">
            <v>7x50 12-Port 10GE IMM (L3BQ/L2HQ/L3HQ)</v>
          </cell>
          <cell r="AW64">
            <v>0.8</v>
          </cell>
          <cell r="AX64">
            <v>0.7</v>
          </cell>
          <cell r="AY64">
            <v>0.75</v>
          </cell>
          <cell r="AZ64">
            <v>0.75</v>
          </cell>
          <cell r="BA64">
            <v>0.71299999999999997</v>
          </cell>
          <cell r="BB64">
            <v>0.75</v>
          </cell>
          <cell r="BC64">
            <v>0.75</v>
          </cell>
          <cell r="BD64">
            <v>0.71299999999999997</v>
          </cell>
          <cell r="BE64">
            <v>0.75</v>
          </cell>
          <cell r="BF64">
            <v>0.75</v>
          </cell>
          <cell r="BG64">
            <v>0.75</v>
          </cell>
          <cell r="BH64">
            <v>0.75</v>
          </cell>
          <cell r="BI64">
            <v>0.79</v>
          </cell>
          <cell r="BJ64">
            <v>0.6</v>
          </cell>
          <cell r="BK64">
            <v>2.5000000000000001E-2</v>
          </cell>
          <cell r="BL64" t="str">
            <v>%PMP</v>
          </cell>
          <cell r="BM64">
            <v>1.4E-2</v>
          </cell>
          <cell r="BN64">
            <v>1.0500000000000001E-2</v>
          </cell>
          <cell r="BO64">
            <v>1.06E-2</v>
          </cell>
          <cell r="BP64">
            <v>7.1000000000000004E-3</v>
          </cell>
          <cell r="BQ64">
            <v>1.4E-2</v>
          </cell>
          <cell r="BR64">
            <v>1.0500000000000001E-2</v>
          </cell>
          <cell r="BS64">
            <v>1.06E-2</v>
          </cell>
          <cell r="BT64">
            <v>7.1000000000000004E-3</v>
          </cell>
          <cell r="BU64">
            <v>1.1200000000000002E-2</v>
          </cell>
          <cell r="BV64">
            <v>5.8800000000000007E-3</v>
          </cell>
          <cell r="BW64">
            <v>8.4799999999999997E-3</v>
          </cell>
          <cell r="BX64">
            <v>3.4080000000000004E-3</v>
          </cell>
          <cell r="BY64">
            <v>1.2320000000000003E-2</v>
          </cell>
          <cell r="BZ64">
            <v>6.9300000000000013E-3</v>
          </cell>
          <cell r="CA64">
            <v>8.9600000000000009E-3</v>
          </cell>
          <cell r="CB64">
            <v>4.7039999999999998E-3</v>
          </cell>
          <cell r="CC64">
            <v>6.7840000000000001E-3</v>
          </cell>
          <cell r="CD64">
            <v>2.7263999999999999E-3</v>
          </cell>
          <cell r="CE64">
            <v>8.9600000000000009E-3</v>
          </cell>
          <cell r="CF64">
            <v>4.7039999999999998E-3</v>
          </cell>
          <cell r="CG64">
            <v>6.7840000000000001E-3</v>
          </cell>
          <cell r="CH64">
            <v>2.7263999999999999E-3</v>
          </cell>
          <cell r="CI64">
            <v>1.3100000000000001E-2</v>
          </cell>
          <cell r="CJ64">
            <v>9.6000000000000009E-3</v>
          </cell>
          <cell r="CK64">
            <v>1.18E-2</v>
          </cell>
          <cell r="CL64">
            <v>8.3000000000000001E-3</v>
          </cell>
          <cell r="CM64">
            <v>1.3100000000000001E-2</v>
          </cell>
          <cell r="CN64">
            <v>9.6000000000000009E-3</v>
          </cell>
          <cell r="CO64">
            <v>1.18E-2</v>
          </cell>
          <cell r="CP64">
            <v>8.3000000000000001E-3</v>
          </cell>
          <cell r="CQ64">
            <v>1.0063256512499504E-2</v>
          </cell>
          <cell r="CR64">
            <v>4.9991661384674946E-3</v>
          </cell>
          <cell r="CS64">
            <v>8.6349233300802193E-3</v>
          </cell>
          <cell r="CT64">
            <v>3.46695417914499E-3</v>
          </cell>
          <cell r="CU64">
            <v>1.1069582163749456E-2</v>
          </cell>
          <cell r="CV64">
            <v>5.8918743774795477E-3</v>
          </cell>
          <cell r="CW64">
            <v>8.0506052099996034E-3</v>
          </cell>
          <cell r="CX64">
            <v>4.0447798756691553E-3</v>
          </cell>
          <cell r="CY64">
            <v>6.8819689698383707E-3</v>
          </cell>
          <cell r="CZ64">
            <v>2.7657724350482506E-3</v>
          </cell>
          <cell r="DA64">
            <v>8.0506052099996034E-3</v>
          </cell>
          <cell r="DB64">
            <v>4.0447798756691553E-3</v>
          </cell>
          <cell r="DC64">
            <v>6.8819689698383707E-3</v>
          </cell>
          <cell r="DD64">
            <v>2.7657724350482506E-3</v>
          </cell>
          <cell r="DE64">
            <v>1.0999999999999999E-2</v>
          </cell>
          <cell r="DF64">
            <v>7.4999999999999997E-3</v>
          </cell>
          <cell r="DG64">
            <v>9.7000000000000003E-3</v>
          </cell>
          <cell r="DH64">
            <v>6.1999999999999998E-3</v>
          </cell>
          <cell r="DI64">
            <v>1.83E-2</v>
          </cell>
          <cell r="DJ64">
            <v>1.4800000000000001E-2</v>
          </cell>
          <cell r="DK64">
            <v>1.61E-2</v>
          </cell>
          <cell r="DL64">
            <v>1.26E-2</v>
          </cell>
          <cell r="DM64">
            <v>1.0999999999999999E-2</v>
          </cell>
          <cell r="DN64">
            <v>7.5000000000000006E-3</v>
          </cell>
          <cell r="DO64">
            <v>9.6999999999999986E-3</v>
          </cell>
          <cell r="DP64">
            <v>6.2000000000000006E-3</v>
          </cell>
          <cell r="DQ64">
            <v>1.0999999999999999E-2</v>
          </cell>
          <cell r="DR64">
            <v>7.5000000000000006E-3</v>
          </cell>
          <cell r="DS64">
            <v>9.6999999999999986E-3</v>
          </cell>
          <cell r="DT64">
            <v>6.2000000000000006E-3</v>
          </cell>
          <cell r="DU64">
            <v>8.8000000000000005E-3</v>
          </cell>
          <cell r="DV64">
            <v>5.4000000000000003E-3</v>
          </cell>
          <cell r="DW64">
            <v>7.7999999999999996E-3</v>
          </cell>
          <cell r="DX64">
            <v>4.0000000000000001E-3</v>
          </cell>
          <cell r="DY64">
            <v>9.7000000000000003E-3</v>
          </cell>
          <cell r="DZ64">
            <v>6.0000000000000001E-3</v>
          </cell>
          <cell r="EA64">
            <v>7.3000000000000001E-3</v>
          </cell>
          <cell r="EB64">
            <v>4.4999999999999997E-3</v>
          </cell>
          <cell r="EC64">
            <v>6.4999999999999997E-3</v>
          </cell>
          <cell r="ED64">
            <v>3.3E-3</v>
          </cell>
          <cell r="EE64">
            <v>7.3000000000000001E-3</v>
          </cell>
          <cell r="EF64">
            <v>4.4999999999999997E-3</v>
          </cell>
          <cell r="EG64">
            <v>6.4999999999999997E-3</v>
          </cell>
          <cell r="EH64">
            <v>3.3E-3</v>
          </cell>
          <cell r="EI64">
            <v>1.83E-2</v>
          </cell>
          <cell r="EJ64">
            <v>1.4800000000000001E-2</v>
          </cell>
          <cell r="EK64">
            <v>1.61E-2</v>
          </cell>
          <cell r="EL64">
            <v>1.26E-2</v>
          </cell>
          <cell r="EM64">
            <v>1.0999999999999999E-2</v>
          </cell>
          <cell r="EN64">
            <v>7.5000000000000006E-3</v>
          </cell>
          <cell r="EO64">
            <v>9.6999999999999986E-3</v>
          </cell>
          <cell r="EP64">
            <v>6.2000000000000006E-3</v>
          </cell>
          <cell r="EQ64">
            <v>1.0999999999999999E-2</v>
          </cell>
          <cell r="ER64">
            <v>7.5000000000000006E-3</v>
          </cell>
          <cell r="ES64">
            <v>9.6999999999999986E-3</v>
          </cell>
          <cell r="ET64">
            <v>6.2000000000000006E-3</v>
          </cell>
          <cell r="EU64">
            <v>8.8000000000000005E-3</v>
          </cell>
          <cell r="EV64">
            <v>5.4000000000000003E-3</v>
          </cell>
          <cell r="EW64">
            <v>7.7999999999999996E-3</v>
          </cell>
          <cell r="EX64">
            <v>4.0000000000000001E-3</v>
          </cell>
          <cell r="EY64">
            <v>9.7000000000000003E-3</v>
          </cell>
          <cell r="EZ64">
            <v>6.0000000000000001E-3</v>
          </cell>
          <cell r="FA64">
            <v>7.3000000000000001E-3</v>
          </cell>
          <cell r="FB64">
            <v>4.4999999999999997E-3</v>
          </cell>
          <cell r="FC64">
            <v>6.4999999999999997E-3</v>
          </cell>
          <cell r="FD64">
            <v>3.3E-3</v>
          </cell>
          <cell r="FE64">
            <v>7.3000000000000001E-3</v>
          </cell>
          <cell r="FF64">
            <v>4.4999999999999997E-3</v>
          </cell>
          <cell r="FG64">
            <v>6.4999999999999997E-3</v>
          </cell>
          <cell r="FH64">
            <v>3.3E-3</v>
          </cell>
          <cell r="FI64">
            <v>2.76E-2</v>
          </cell>
          <cell r="FJ64">
            <v>2.4E-2</v>
          </cell>
          <cell r="FK64">
            <v>2.47E-2</v>
          </cell>
          <cell r="FL64">
            <v>2.1100000000000001E-2</v>
          </cell>
          <cell r="FM64">
            <v>2.76E-2</v>
          </cell>
          <cell r="FN64">
            <v>2.4E-2</v>
          </cell>
          <cell r="FO64">
            <v>2.47E-2</v>
          </cell>
          <cell r="FP64">
            <v>2.1100000000000001E-2</v>
          </cell>
          <cell r="FQ64">
            <v>1.11E-2</v>
          </cell>
          <cell r="FR64">
            <v>8.8000000000000005E-3</v>
          </cell>
          <cell r="FS64">
            <v>8.3999999999999995E-3</v>
          </cell>
          <cell r="FT64">
            <v>5.7999999999999996E-3</v>
          </cell>
          <cell r="FU64">
            <v>1.23E-2</v>
          </cell>
          <cell r="FV64">
            <v>9.1000000000000004E-3</v>
          </cell>
          <cell r="FW64">
            <v>9.7000000000000003E-3</v>
          </cell>
          <cell r="FX64">
            <v>7.6E-3</v>
          </cell>
          <cell r="FY64">
            <v>7.3000000000000001E-3</v>
          </cell>
          <cell r="FZ64">
            <v>5.0000000000000001E-3</v>
          </cell>
          <cell r="GA64">
            <v>9.7000000000000003E-3</v>
          </cell>
          <cell r="GB64">
            <v>7.6E-3</v>
          </cell>
          <cell r="GC64">
            <v>7.3000000000000001E-3</v>
          </cell>
          <cell r="GD64">
            <v>5.0000000000000001E-3</v>
          </cell>
          <cell r="GE64">
            <v>2.18E-2</v>
          </cell>
          <cell r="GF64">
            <v>1.9300000000000001E-2</v>
          </cell>
          <cell r="GG64">
            <v>1.9799999999999998E-2</v>
          </cell>
          <cell r="GH64">
            <v>1.6299999999999999E-2</v>
          </cell>
          <cell r="GI64">
            <v>2.18E-2</v>
          </cell>
          <cell r="GJ64">
            <v>1.9300000000000001E-2</v>
          </cell>
          <cell r="GK64">
            <v>1.9799999999999998E-2</v>
          </cell>
          <cell r="GL64">
            <v>1.6299999999999999E-2</v>
          </cell>
          <cell r="GM64">
            <v>1.11E-2</v>
          </cell>
          <cell r="GN64">
            <v>8.3999999999999995E-3</v>
          </cell>
          <cell r="GO64">
            <v>8.3999999999999995E-3</v>
          </cell>
          <cell r="GP64">
            <v>5.5999999999999999E-3</v>
          </cell>
          <cell r="GQ64">
            <v>1.23E-2</v>
          </cell>
          <cell r="GR64">
            <v>8.8000000000000005E-3</v>
          </cell>
          <cell r="GS64">
            <v>9.7000000000000003E-3</v>
          </cell>
          <cell r="GT64">
            <v>7.3000000000000001E-3</v>
          </cell>
          <cell r="GU64">
            <v>7.3000000000000001E-3</v>
          </cell>
          <cell r="GV64">
            <v>4.7999999999999996E-3</v>
          </cell>
          <cell r="GW64">
            <v>9.7000000000000003E-3</v>
          </cell>
          <cell r="GX64">
            <v>7.3000000000000001E-3</v>
          </cell>
          <cell r="GY64">
            <v>7.3000000000000001E-3</v>
          </cell>
          <cell r="GZ64">
            <v>4.7999999999999996E-3</v>
          </cell>
          <cell r="HA64">
            <v>2.18E-2</v>
          </cell>
          <cell r="HB64">
            <v>1.9300000000000001E-2</v>
          </cell>
          <cell r="HC64">
            <v>1.9799999999999998E-2</v>
          </cell>
          <cell r="HD64">
            <v>1.6299999999999999E-2</v>
          </cell>
          <cell r="HE64">
            <v>2.18E-2</v>
          </cell>
          <cell r="HF64">
            <v>1.9300000000000001E-2</v>
          </cell>
          <cell r="HG64">
            <v>1.9799999999999998E-2</v>
          </cell>
          <cell r="HH64">
            <v>1.6299999999999999E-2</v>
          </cell>
          <cell r="HI64">
            <v>1.11E-2</v>
          </cell>
          <cell r="HJ64">
            <v>8.2000000000000007E-3</v>
          </cell>
          <cell r="HK64">
            <v>8.3999999999999995E-3</v>
          </cell>
          <cell r="HL64">
            <v>5.4000000000000003E-3</v>
          </cell>
          <cell r="HM64">
            <v>1.23E-2</v>
          </cell>
          <cell r="HN64">
            <v>8.6E-3</v>
          </cell>
          <cell r="HO64">
            <v>9.7000000000000003E-3</v>
          </cell>
          <cell r="HP64">
            <v>7.1000000000000004E-3</v>
          </cell>
          <cell r="HQ64">
            <v>7.3000000000000001E-3</v>
          </cell>
          <cell r="HR64">
            <v>4.7000000000000002E-3</v>
          </cell>
          <cell r="HS64">
            <v>9.7000000000000003E-3</v>
          </cell>
          <cell r="HT64">
            <v>7.1000000000000004E-3</v>
          </cell>
          <cell r="HU64">
            <v>7.3000000000000001E-3</v>
          </cell>
          <cell r="HV64">
            <v>4.7000000000000002E-3</v>
          </cell>
          <cell r="HW64" t="str">
            <v>%PPL</v>
          </cell>
        </row>
        <row r="65">
          <cell r="AV65" t="str">
            <v>7x50 1-Port 100GE IMM (L3BQ/L2HQ/L3HQ)</v>
          </cell>
          <cell r="AW65">
            <v>0.8</v>
          </cell>
          <cell r="AX65">
            <v>0.7</v>
          </cell>
          <cell r="AY65">
            <v>0.75</v>
          </cell>
          <cell r="AZ65">
            <v>0.75</v>
          </cell>
          <cell r="BA65">
            <v>0.71299999999999997</v>
          </cell>
          <cell r="BB65">
            <v>0.75</v>
          </cell>
          <cell r="BC65">
            <v>0.75</v>
          </cell>
          <cell r="BD65">
            <v>0.71299999999999997</v>
          </cell>
          <cell r="BE65">
            <v>0.75</v>
          </cell>
          <cell r="BF65">
            <v>0.75</v>
          </cell>
          <cell r="BG65">
            <v>0.75</v>
          </cell>
          <cell r="BH65">
            <v>0.75</v>
          </cell>
          <cell r="BI65">
            <v>0.84</v>
          </cell>
          <cell r="BJ65">
            <v>0.6</v>
          </cell>
          <cell r="BK65">
            <v>2.5000000000000001E-2</v>
          </cell>
          <cell r="BL65" t="str">
            <v>%PMP</v>
          </cell>
          <cell r="BM65">
            <v>1.4E-2</v>
          </cell>
          <cell r="BN65">
            <v>1.0500000000000001E-2</v>
          </cell>
          <cell r="BO65">
            <v>1.06E-2</v>
          </cell>
          <cell r="BP65">
            <v>7.1000000000000004E-3</v>
          </cell>
          <cell r="BQ65">
            <v>1.4E-2</v>
          </cell>
          <cell r="BR65">
            <v>1.0500000000000001E-2</v>
          </cell>
          <cell r="BS65">
            <v>1.06E-2</v>
          </cell>
          <cell r="BT65">
            <v>7.1000000000000004E-3</v>
          </cell>
          <cell r="BU65">
            <v>1.1200000000000002E-2</v>
          </cell>
          <cell r="BV65">
            <v>5.8800000000000007E-3</v>
          </cell>
          <cell r="BW65">
            <v>8.4799999999999997E-3</v>
          </cell>
          <cell r="BX65">
            <v>3.4080000000000004E-3</v>
          </cell>
          <cell r="BY65">
            <v>1.2320000000000003E-2</v>
          </cell>
          <cell r="BZ65">
            <v>6.9300000000000013E-3</v>
          </cell>
          <cell r="CA65">
            <v>8.9600000000000009E-3</v>
          </cell>
          <cell r="CB65">
            <v>4.7039999999999998E-3</v>
          </cell>
          <cell r="CC65">
            <v>6.7840000000000001E-3</v>
          </cell>
          <cell r="CD65">
            <v>2.7263999999999999E-3</v>
          </cell>
          <cell r="CE65">
            <v>8.9600000000000009E-3</v>
          </cell>
          <cell r="CF65">
            <v>4.7039999999999998E-3</v>
          </cell>
          <cell r="CG65">
            <v>6.7840000000000001E-3</v>
          </cell>
          <cell r="CH65">
            <v>2.7263999999999999E-3</v>
          </cell>
          <cell r="CI65">
            <v>1.3100000000000001E-2</v>
          </cell>
          <cell r="CJ65">
            <v>9.6000000000000009E-3</v>
          </cell>
          <cell r="CK65">
            <v>1.18E-2</v>
          </cell>
          <cell r="CL65">
            <v>8.3000000000000001E-3</v>
          </cell>
          <cell r="CM65">
            <v>1.3100000000000001E-2</v>
          </cell>
          <cell r="CN65">
            <v>9.6000000000000009E-3</v>
          </cell>
          <cell r="CO65">
            <v>1.18E-2</v>
          </cell>
          <cell r="CP65">
            <v>8.3000000000000001E-3</v>
          </cell>
          <cell r="CQ65">
            <v>1.0063256512499504E-2</v>
          </cell>
          <cell r="CR65">
            <v>4.9991661384674946E-3</v>
          </cell>
          <cell r="CS65">
            <v>8.6349233300802193E-3</v>
          </cell>
          <cell r="CT65">
            <v>3.46695417914499E-3</v>
          </cell>
          <cell r="CU65">
            <v>1.1069582163749456E-2</v>
          </cell>
          <cell r="CV65">
            <v>5.8918743774795477E-3</v>
          </cell>
          <cell r="CW65">
            <v>8.0506052099996034E-3</v>
          </cell>
          <cell r="CX65">
            <v>4.0447798756691553E-3</v>
          </cell>
          <cell r="CY65">
            <v>6.8819689698383707E-3</v>
          </cell>
          <cell r="CZ65">
            <v>2.7657724350482506E-3</v>
          </cell>
          <cell r="DA65">
            <v>8.0506052099996034E-3</v>
          </cell>
          <cell r="DB65">
            <v>4.0447798756691553E-3</v>
          </cell>
          <cell r="DC65">
            <v>6.8819689698383707E-3</v>
          </cell>
          <cell r="DD65">
            <v>2.7657724350482506E-3</v>
          </cell>
          <cell r="DE65">
            <v>1.0999999999999999E-2</v>
          </cell>
          <cell r="DF65">
            <v>7.4999999999999997E-3</v>
          </cell>
          <cell r="DG65">
            <v>9.7000000000000003E-3</v>
          </cell>
          <cell r="DH65">
            <v>6.1999999999999998E-3</v>
          </cell>
          <cell r="DI65">
            <v>1.83E-2</v>
          </cell>
          <cell r="DJ65">
            <v>1.4800000000000001E-2</v>
          </cell>
          <cell r="DK65">
            <v>1.61E-2</v>
          </cell>
          <cell r="DL65">
            <v>1.26E-2</v>
          </cell>
          <cell r="DM65">
            <v>1.0999999999999999E-2</v>
          </cell>
          <cell r="DN65">
            <v>7.5000000000000006E-3</v>
          </cell>
          <cell r="DO65">
            <v>9.6999999999999986E-3</v>
          </cell>
          <cell r="DP65">
            <v>6.2000000000000006E-3</v>
          </cell>
          <cell r="DQ65">
            <v>1.0999999999999999E-2</v>
          </cell>
          <cell r="DR65">
            <v>7.5000000000000006E-3</v>
          </cell>
          <cell r="DS65">
            <v>9.6999999999999986E-3</v>
          </cell>
          <cell r="DT65">
            <v>6.2000000000000006E-3</v>
          </cell>
          <cell r="DU65">
            <v>8.8000000000000005E-3</v>
          </cell>
          <cell r="DV65">
            <v>5.4000000000000003E-3</v>
          </cell>
          <cell r="DW65">
            <v>7.7999999999999996E-3</v>
          </cell>
          <cell r="DX65">
            <v>4.0000000000000001E-3</v>
          </cell>
          <cell r="DY65">
            <v>9.7000000000000003E-3</v>
          </cell>
          <cell r="DZ65">
            <v>6.0000000000000001E-3</v>
          </cell>
          <cell r="EA65">
            <v>7.3000000000000001E-3</v>
          </cell>
          <cell r="EB65">
            <v>4.4999999999999997E-3</v>
          </cell>
          <cell r="EC65">
            <v>6.4999999999999997E-3</v>
          </cell>
          <cell r="ED65">
            <v>3.3E-3</v>
          </cell>
          <cell r="EE65">
            <v>7.3000000000000001E-3</v>
          </cell>
          <cell r="EF65">
            <v>4.4999999999999997E-3</v>
          </cell>
          <cell r="EG65">
            <v>6.4999999999999997E-3</v>
          </cell>
          <cell r="EH65">
            <v>3.3E-3</v>
          </cell>
          <cell r="EI65">
            <v>1.83E-2</v>
          </cell>
          <cell r="EJ65">
            <v>1.4800000000000001E-2</v>
          </cell>
          <cell r="EK65">
            <v>1.61E-2</v>
          </cell>
          <cell r="EL65">
            <v>1.26E-2</v>
          </cell>
          <cell r="EM65">
            <v>1.0999999999999999E-2</v>
          </cell>
          <cell r="EN65">
            <v>7.5000000000000006E-3</v>
          </cell>
          <cell r="EO65">
            <v>9.6999999999999986E-3</v>
          </cell>
          <cell r="EP65">
            <v>6.2000000000000006E-3</v>
          </cell>
          <cell r="EQ65">
            <v>1.0999999999999999E-2</v>
          </cell>
          <cell r="ER65">
            <v>7.5000000000000006E-3</v>
          </cell>
          <cell r="ES65">
            <v>9.6999999999999986E-3</v>
          </cell>
          <cell r="ET65">
            <v>6.2000000000000006E-3</v>
          </cell>
          <cell r="EU65">
            <v>8.8000000000000005E-3</v>
          </cell>
          <cell r="EV65">
            <v>5.4000000000000003E-3</v>
          </cell>
          <cell r="EW65">
            <v>7.7999999999999996E-3</v>
          </cell>
          <cell r="EX65">
            <v>4.0000000000000001E-3</v>
          </cell>
          <cell r="EY65">
            <v>9.7000000000000003E-3</v>
          </cell>
          <cell r="EZ65">
            <v>6.0000000000000001E-3</v>
          </cell>
          <cell r="FA65">
            <v>7.3000000000000001E-3</v>
          </cell>
          <cell r="FB65">
            <v>4.4999999999999997E-3</v>
          </cell>
          <cell r="FC65">
            <v>6.4999999999999997E-3</v>
          </cell>
          <cell r="FD65">
            <v>3.3E-3</v>
          </cell>
          <cell r="FE65">
            <v>7.3000000000000001E-3</v>
          </cell>
          <cell r="FF65">
            <v>4.4999999999999997E-3</v>
          </cell>
          <cell r="FG65">
            <v>6.4999999999999997E-3</v>
          </cell>
          <cell r="FH65">
            <v>3.3E-3</v>
          </cell>
          <cell r="FI65">
            <v>2.76E-2</v>
          </cell>
          <cell r="FJ65">
            <v>2.4E-2</v>
          </cell>
          <cell r="FK65">
            <v>2.47E-2</v>
          </cell>
          <cell r="FL65">
            <v>2.1100000000000001E-2</v>
          </cell>
          <cell r="FM65">
            <v>2.76E-2</v>
          </cell>
          <cell r="FN65">
            <v>2.4E-2</v>
          </cell>
          <cell r="FO65">
            <v>2.47E-2</v>
          </cell>
          <cell r="FP65">
            <v>2.1100000000000001E-2</v>
          </cell>
          <cell r="FQ65">
            <v>1.11E-2</v>
          </cell>
          <cell r="FR65">
            <v>8.8000000000000005E-3</v>
          </cell>
          <cell r="FS65">
            <v>8.3999999999999995E-3</v>
          </cell>
          <cell r="FT65">
            <v>5.7999999999999996E-3</v>
          </cell>
          <cell r="FU65">
            <v>1.23E-2</v>
          </cell>
          <cell r="FV65">
            <v>9.1000000000000004E-3</v>
          </cell>
          <cell r="FW65">
            <v>9.7000000000000003E-3</v>
          </cell>
          <cell r="FX65">
            <v>7.6E-3</v>
          </cell>
          <cell r="FY65">
            <v>7.3000000000000001E-3</v>
          </cell>
          <cell r="FZ65">
            <v>5.0000000000000001E-3</v>
          </cell>
          <cell r="GA65">
            <v>9.7000000000000003E-3</v>
          </cell>
          <cell r="GB65">
            <v>7.6E-3</v>
          </cell>
          <cell r="GC65">
            <v>7.3000000000000001E-3</v>
          </cell>
          <cell r="GD65">
            <v>5.0000000000000001E-3</v>
          </cell>
          <cell r="GE65">
            <v>2.18E-2</v>
          </cell>
          <cell r="GF65">
            <v>1.9300000000000001E-2</v>
          </cell>
          <cell r="GG65">
            <v>1.9799999999999998E-2</v>
          </cell>
          <cell r="GH65">
            <v>1.6299999999999999E-2</v>
          </cell>
          <cell r="GI65">
            <v>2.18E-2</v>
          </cell>
          <cell r="GJ65">
            <v>1.9300000000000001E-2</v>
          </cell>
          <cell r="GK65">
            <v>1.9799999999999998E-2</v>
          </cell>
          <cell r="GL65">
            <v>1.6299999999999999E-2</v>
          </cell>
          <cell r="GM65">
            <v>1.11E-2</v>
          </cell>
          <cell r="GN65">
            <v>8.3999999999999995E-3</v>
          </cell>
          <cell r="GO65">
            <v>8.3999999999999995E-3</v>
          </cell>
          <cell r="GP65">
            <v>5.5999999999999999E-3</v>
          </cell>
          <cell r="GQ65">
            <v>1.23E-2</v>
          </cell>
          <cell r="GR65">
            <v>8.8000000000000005E-3</v>
          </cell>
          <cell r="GS65">
            <v>9.7000000000000003E-3</v>
          </cell>
          <cell r="GT65">
            <v>7.3000000000000001E-3</v>
          </cell>
          <cell r="GU65">
            <v>7.3000000000000001E-3</v>
          </cell>
          <cell r="GV65">
            <v>4.7999999999999996E-3</v>
          </cell>
          <cell r="GW65">
            <v>9.7000000000000003E-3</v>
          </cell>
          <cell r="GX65">
            <v>7.3000000000000001E-3</v>
          </cell>
          <cell r="GY65">
            <v>7.3000000000000001E-3</v>
          </cell>
          <cell r="GZ65">
            <v>4.7999999999999996E-3</v>
          </cell>
          <cell r="HA65">
            <v>2.18E-2</v>
          </cell>
          <cell r="HB65">
            <v>1.9300000000000001E-2</v>
          </cell>
          <cell r="HC65">
            <v>1.9799999999999998E-2</v>
          </cell>
          <cell r="HD65">
            <v>1.6299999999999999E-2</v>
          </cell>
          <cell r="HE65">
            <v>2.18E-2</v>
          </cell>
          <cell r="HF65">
            <v>1.9300000000000001E-2</v>
          </cell>
          <cell r="HG65">
            <v>1.9799999999999998E-2</v>
          </cell>
          <cell r="HH65">
            <v>1.6299999999999999E-2</v>
          </cell>
          <cell r="HI65">
            <v>1.11E-2</v>
          </cell>
          <cell r="HJ65">
            <v>8.2000000000000007E-3</v>
          </cell>
          <cell r="HK65">
            <v>8.3999999999999995E-3</v>
          </cell>
          <cell r="HL65">
            <v>5.4000000000000003E-3</v>
          </cell>
          <cell r="HM65">
            <v>1.23E-2</v>
          </cell>
          <cell r="HN65">
            <v>8.6E-3</v>
          </cell>
          <cell r="HO65">
            <v>9.7000000000000003E-3</v>
          </cell>
          <cell r="HP65">
            <v>7.1000000000000004E-3</v>
          </cell>
          <cell r="HQ65">
            <v>7.3000000000000001E-3</v>
          </cell>
          <cell r="HR65">
            <v>4.7000000000000002E-3</v>
          </cell>
          <cell r="HS65">
            <v>9.7000000000000003E-3</v>
          </cell>
          <cell r="HT65">
            <v>7.1000000000000004E-3</v>
          </cell>
          <cell r="HU65">
            <v>7.3000000000000001E-3</v>
          </cell>
          <cell r="HV65">
            <v>4.7000000000000002E-3</v>
          </cell>
          <cell r="HW65" t="str">
            <v>%PPL</v>
          </cell>
        </row>
        <row r="66">
          <cell r="AV66" t="str">
            <v>7x50 20-Port 10GE IMM L3BQ/L2HQ</v>
          </cell>
          <cell r="AW66">
            <v>0.8</v>
          </cell>
          <cell r="AX66">
            <v>0.7</v>
          </cell>
          <cell r="AY66">
            <v>0.75</v>
          </cell>
          <cell r="AZ66">
            <v>0.75</v>
          </cell>
          <cell r="BA66">
            <v>0.71299999999999997</v>
          </cell>
          <cell r="BB66">
            <v>0.75</v>
          </cell>
          <cell r="BC66">
            <v>0.75</v>
          </cell>
          <cell r="BD66">
            <v>0.71299999999999997</v>
          </cell>
          <cell r="BE66">
            <v>0.75</v>
          </cell>
          <cell r="BF66">
            <v>0.75</v>
          </cell>
          <cell r="BG66">
            <v>0.75</v>
          </cell>
          <cell r="BH66">
            <v>0.75</v>
          </cell>
          <cell r="BI66">
            <v>0.79</v>
          </cell>
          <cell r="BJ66">
            <v>0.6</v>
          </cell>
          <cell r="BK66">
            <v>2.5000000000000001E-2</v>
          </cell>
          <cell r="BL66" t="str">
            <v>%PMP</v>
          </cell>
          <cell r="BM66">
            <v>1.4E-2</v>
          </cell>
          <cell r="BN66">
            <v>1.0500000000000001E-2</v>
          </cell>
          <cell r="BO66">
            <v>1.06E-2</v>
          </cell>
          <cell r="BP66">
            <v>7.1000000000000004E-3</v>
          </cell>
          <cell r="BQ66">
            <v>1.4E-2</v>
          </cell>
          <cell r="BR66">
            <v>1.0500000000000001E-2</v>
          </cell>
          <cell r="BS66">
            <v>1.06E-2</v>
          </cell>
          <cell r="BT66">
            <v>7.1000000000000004E-3</v>
          </cell>
          <cell r="BU66">
            <v>1.1200000000000002E-2</v>
          </cell>
          <cell r="BV66">
            <v>5.8800000000000007E-3</v>
          </cell>
          <cell r="BW66">
            <v>8.4799999999999997E-3</v>
          </cell>
          <cell r="BX66">
            <v>3.4080000000000004E-3</v>
          </cell>
          <cell r="BY66">
            <v>1.2320000000000003E-2</v>
          </cell>
          <cell r="BZ66">
            <v>6.9300000000000013E-3</v>
          </cell>
          <cell r="CA66">
            <v>8.9600000000000009E-3</v>
          </cell>
          <cell r="CB66">
            <v>4.7039999999999998E-3</v>
          </cell>
          <cell r="CC66">
            <v>6.7840000000000001E-3</v>
          </cell>
          <cell r="CD66">
            <v>2.7263999999999999E-3</v>
          </cell>
          <cell r="CE66">
            <v>8.9600000000000009E-3</v>
          </cell>
          <cell r="CF66">
            <v>4.7039999999999998E-3</v>
          </cell>
          <cell r="CG66">
            <v>6.7840000000000001E-3</v>
          </cell>
          <cell r="CH66">
            <v>2.7263999999999999E-3</v>
          </cell>
          <cell r="CI66">
            <v>1.3100000000000001E-2</v>
          </cell>
          <cell r="CJ66">
            <v>9.6000000000000009E-3</v>
          </cell>
          <cell r="CK66">
            <v>1.18E-2</v>
          </cell>
          <cell r="CL66">
            <v>8.3000000000000001E-3</v>
          </cell>
          <cell r="CM66">
            <v>1.3100000000000001E-2</v>
          </cell>
          <cell r="CN66">
            <v>9.6000000000000009E-3</v>
          </cell>
          <cell r="CO66">
            <v>1.18E-2</v>
          </cell>
          <cell r="CP66">
            <v>8.3000000000000001E-3</v>
          </cell>
          <cell r="CQ66">
            <v>1.0063256512499504E-2</v>
          </cell>
          <cell r="CR66">
            <v>4.9991661384674946E-3</v>
          </cell>
          <cell r="CS66">
            <v>8.6349233300802193E-3</v>
          </cell>
          <cell r="CT66">
            <v>3.46695417914499E-3</v>
          </cell>
          <cell r="CU66">
            <v>1.1069582163749456E-2</v>
          </cell>
          <cell r="CV66">
            <v>5.8918743774795477E-3</v>
          </cell>
          <cell r="CW66">
            <v>8.0506052099996034E-3</v>
          </cell>
          <cell r="CX66">
            <v>4.0447798756691553E-3</v>
          </cell>
          <cell r="CY66">
            <v>6.8819689698383707E-3</v>
          </cell>
          <cell r="CZ66">
            <v>2.7657724350482506E-3</v>
          </cell>
          <cell r="DA66">
            <v>8.0506052099996034E-3</v>
          </cell>
          <cell r="DB66">
            <v>4.0447798756691553E-3</v>
          </cell>
          <cell r="DC66">
            <v>6.8819689698383707E-3</v>
          </cell>
          <cell r="DD66">
            <v>2.7657724350482506E-3</v>
          </cell>
          <cell r="DE66">
            <v>1.0999999999999999E-2</v>
          </cell>
          <cell r="DF66">
            <v>7.4999999999999997E-3</v>
          </cell>
          <cell r="DG66">
            <v>9.7000000000000003E-3</v>
          </cell>
          <cell r="DH66">
            <v>6.1999999999999998E-3</v>
          </cell>
          <cell r="DI66">
            <v>1.83E-2</v>
          </cell>
          <cell r="DJ66">
            <v>1.4800000000000001E-2</v>
          </cell>
          <cell r="DK66">
            <v>1.61E-2</v>
          </cell>
          <cell r="DL66">
            <v>1.26E-2</v>
          </cell>
          <cell r="DM66">
            <v>1.0999999999999999E-2</v>
          </cell>
          <cell r="DN66">
            <v>7.5000000000000006E-3</v>
          </cell>
          <cell r="DO66">
            <v>9.6999999999999986E-3</v>
          </cell>
          <cell r="DP66">
            <v>6.2000000000000006E-3</v>
          </cell>
          <cell r="DQ66">
            <v>1.0999999999999999E-2</v>
          </cell>
          <cell r="DR66">
            <v>7.5000000000000006E-3</v>
          </cell>
          <cell r="DS66">
            <v>9.6999999999999986E-3</v>
          </cell>
          <cell r="DT66">
            <v>6.2000000000000006E-3</v>
          </cell>
          <cell r="DU66">
            <v>8.8000000000000005E-3</v>
          </cell>
          <cell r="DV66">
            <v>5.4000000000000003E-3</v>
          </cell>
          <cell r="DW66">
            <v>7.7999999999999996E-3</v>
          </cell>
          <cell r="DX66">
            <v>4.0000000000000001E-3</v>
          </cell>
          <cell r="DY66">
            <v>9.7000000000000003E-3</v>
          </cell>
          <cell r="DZ66">
            <v>6.0000000000000001E-3</v>
          </cell>
          <cell r="EA66">
            <v>7.3000000000000001E-3</v>
          </cell>
          <cell r="EB66">
            <v>4.4999999999999997E-3</v>
          </cell>
          <cell r="EC66">
            <v>6.4999999999999997E-3</v>
          </cell>
          <cell r="ED66">
            <v>3.3E-3</v>
          </cell>
          <cell r="EE66">
            <v>7.3000000000000001E-3</v>
          </cell>
          <cell r="EF66">
            <v>4.4999999999999997E-3</v>
          </cell>
          <cell r="EG66">
            <v>6.4999999999999997E-3</v>
          </cell>
          <cell r="EH66">
            <v>3.3E-3</v>
          </cell>
          <cell r="EI66">
            <v>1.83E-2</v>
          </cell>
          <cell r="EJ66">
            <v>1.4800000000000001E-2</v>
          </cell>
          <cell r="EK66">
            <v>1.61E-2</v>
          </cell>
          <cell r="EL66">
            <v>1.26E-2</v>
          </cell>
          <cell r="EM66">
            <v>1.0999999999999999E-2</v>
          </cell>
          <cell r="EN66">
            <v>7.5000000000000006E-3</v>
          </cell>
          <cell r="EO66">
            <v>9.6999999999999986E-3</v>
          </cell>
          <cell r="EP66">
            <v>6.2000000000000006E-3</v>
          </cell>
          <cell r="EQ66">
            <v>1.0999999999999999E-2</v>
          </cell>
          <cell r="ER66">
            <v>7.5000000000000006E-3</v>
          </cell>
          <cell r="ES66">
            <v>9.6999999999999986E-3</v>
          </cell>
          <cell r="ET66">
            <v>6.2000000000000006E-3</v>
          </cell>
          <cell r="EU66">
            <v>8.8000000000000005E-3</v>
          </cell>
          <cell r="EV66">
            <v>5.4000000000000003E-3</v>
          </cell>
          <cell r="EW66">
            <v>7.7999999999999996E-3</v>
          </cell>
          <cell r="EX66">
            <v>4.0000000000000001E-3</v>
          </cell>
          <cell r="EY66">
            <v>9.7000000000000003E-3</v>
          </cell>
          <cell r="EZ66">
            <v>6.0000000000000001E-3</v>
          </cell>
          <cell r="FA66">
            <v>7.3000000000000001E-3</v>
          </cell>
          <cell r="FB66">
            <v>4.4999999999999997E-3</v>
          </cell>
          <cell r="FC66">
            <v>6.4999999999999997E-3</v>
          </cell>
          <cell r="FD66">
            <v>3.3E-3</v>
          </cell>
          <cell r="FE66">
            <v>7.3000000000000001E-3</v>
          </cell>
          <cell r="FF66">
            <v>4.4999999999999997E-3</v>
          </cell>
          <cell r="FG66">
            <v>6.4999999999999997E-3</v>
          </cell>
          <cell r="FH66">
            <v>3.3E-3</v>
          </cell>
          <cell r="FI66">
            <v>2.76E-2</v>
          </cell>
          <cell r="FJ66">
            <v>2.4E-2</v>
          </cell>
          <cell r="FK66">
            <v>2.47E-2</v>
          </cell>
          <cell r="FL66">
            <v>2.1100000000000001E-2</v>
          </cell>
          <cell r="FM66">
            <v>2.76E-2</v>
          </cell>
          <cell r="FN66">
            <v>2.4E-2</v>
          </cell>
          <cell r="FO66">
            <v>2.47E-2</v>
          </cell>
          <cell r="FP66">
            <v>2.1100000000000001E-2</v>
          </cell>
          <cell r="FQ66">
            <v>1.11E-2</v>
          </cell>
          <cell r="FR66">
            <v>8.8000000000000005E-3</v>
          </cell>
          <cell r="FS66">
            <v>8.3999999999999995E-3</v>
          </cell>
          <cell r="FT66">
            <v>5.7999999999999996E-3</v>
          </cell>
          <cell r="FU66">
            <v>1.23E-2</v>
          </cell>
          <cell r="FV66">
            <v>9.1000000000000004E-3</v>
          </cell>
          <cell r="FW66">
            <v>9.7000000000000003E-3</v>
          </cell>
          <cell r="FX66">
            <v>7.6E-3</v>
          </cell>
          <cell r="FY66">
            <v>7.3000000000000001E-3</v>
          </cell>
          <cell r="FZ66">
            <v>5.0000000000000001E-3</v>
          </cell>
          <cell r="GA66">
            <v>9.7000000000000003E-3</v>
          </cell>
          <cell r="GB66">
            <v>7.6E-3</v>
          </cell>
          <cell r="GC66">
            <v>7.3000000000000001E-3</v>
          </cell>
          <cell r="GD66">
            <v>5.0000000000000001E-3</v>
          </cell>
          <cell r="GE66">
            <v>2.18E-2</v>
          </cell>
          <cell r="GF66">
            <v>1.9300000000000001E-2</v>
          </cell>
          <cell r="GG66">
            <v>1.9799999999999998E-2</v>
          </cell>
          <cell r="GH66">
            <v>1.6299999999999999E-2</v>
          </cell>
          <cell r="GI66">
            <v>2.18E-2</v>
          </cell>
          <cell r="GJ66">
            <v>1.9300000000000001E-2</v>
          </cell>
          <cell r="GK66">
            <v>1.9799999999999998E-2</v>
          </cell>
          <cell r="GL66">
            <v>1.6299999999999999E-2</v>
          </cell>
          <cell r="GM66">
            <v>1.11E-2</v>
          </cell>
          <cell r="GN66">
            <v>8.3999999999999995E-3</v>
          </cell>
          <cell r="GO66">
            <v>8.3999999999999995E-3</v>
          </cell>
          <cell r="GP66">
            <v>5.5999999999999999E-3</v>
          </cell>
          <cell r="GQ66">
            <v>1.23E-2</v>
          </cell>
          <cell r="GR66">
            <v>8.8000000000000005E-3</v>
          </cell>
          <cell r="GS66">
            <v>9.7000000000000003E-3</v>
          </cell>
          <cell r="GT66">
            <v>7.3000000000000001E-3</v>
          </cell>
          <cell r="GU66">
            <v>7.3000000000000001E-3</v>
          </cell>
          <cell r="GV66">
            <v>4.7999999999999996E-3</v>
          </cell>
          <cell r="GW66">
            <v>9.7000000000000003E-3</v>
          </cell>
          <cell r="GX66">
            <v>7.3000000000000001E-3</v>
          </cell>
          <cell r="GY66">
            <v>7.3000000000000001E-3</v>
          </cell>
          <cell r="GZ66">
            <v>4.7999999999999996E-3</v>
          </cell>
          <cell r="HA66">
            <v>2.18E-2</v>
          </cell>
          <cell r="HB66">
            <v>1.9300000000000001E-2</v>
          </cell>
          <cell r="HC66">
            <v>1.9799999999999998E-2</v>
          </cell>
          <cell r="HD66">
            <v>1.6299999999999999E-2</v>
          </cell>
          <cell r="HE66">
            <v>2.18E-2</v>
          </cell>
          <cell r="HF66">
            <v>1.9300000000000001E-2</v>
          </cell>
          <cell r="HG66">
            <v>1.9799999999999998E-2</v>
          </cell>
          <cell r="HH66">
            <v>1.6299999999999999E-2</v>
          </cell>
          <cell r="HI66">
            <v>1.11E-2</v>
          </cell>
          <cell r="HJ66">
            <v>8.2000000000000007E-3</v>
          </cell>
          <cell r="HK66">
            <v>8.3999999999999995E-3</v>
          </cell>
          <cell r="HL66">
            <v>5.4000000000000003E-3</v>
          </cell>
          <cell r="HM66">
            <v>1.23E-2</v>
          </cell>
          <cell r="HN66">
            <v>8.6E-3</v>
          </cell>
          <cell r="HO66">
            <v>9.7000000000000003E-3</v>
          </cell>
          <cell r="HP66">
            <v>7.1000000000000004E-3</v>
          </cell>
          <cell r="HQ66">
            <v>7.3000000000000001E-3</v>
          </cell>
          <cell r="HR66">
            <v>4.7000000000000002E-3</v>
          </cell>
          <cell r="HS66">
            <v>9.7000000000000003E-3</v>
          </cell>
          <cell r="HT66">
            <v>7.1000000000000004E-3</v>
          </cell>
          <cell r="HU66">
            <v>7.3000000000000001E-3</v>
          </cell>
          <cell r="HV66">
            <v>4.7000000000000002E-3</v>
          </cell>
          <cell r="HW66" t="str">
            <v>%PPL</v>
          </cell>
        </row>
        <row r="67">
          <cell r="AV67" t="str">
            <v>7x50 20-Port 10GE IMM L3HQ</v>
          </cell>
          <cell r="AW67">
            <v>0.8</v>
          </cell>
          <cell r="AX67">
            <v>0.7</v>
          </cell>
          <cell r="AY67">
            <v>0.75</v>
          </cell>
          <cell r="AZ67">
            <v>0.75</v>
          </cell>
          <cell r="BA67">
            <v>0.71299999999999997</v>
          </cell>
          <cell r="BB67">
            <v>0.75</v>
          </cell>
          <cell r="BC67">
            <v>0.75</v>
          </cell>
          <cell r="BD67">
            <v>0.71299999999999997</v>
          </cell>
          <cell r="BE67">
            <v>0.75</v>
          </cell>
          <cell r="BF67">
            <v>0.75</v>
          </cell>
          <cell r="BG67">
            <v>0.75</v>
          </cell>
          <cell r="BH67">
            <v>0.75</v>
          </cell>
          <cell r="BI67">
            <v>0.85</v>
          </cell>
          <cell r="BJ67">
            <v>0.6</v>
          </cell>
          <cell r="BK67">
            <v>2.5000000000000001E-2</v>
          </cell>
          <cell r="BL67" t="str">
            <v>%PMP</v>
          </cell>
          <cell r="BM67">
            <v>1.4E-2</v>
          </cell>
          <cell r="BN67">
            <v>1.0500000000000001E-2</v>
          </cell>
          <cell r="BO67">
            <v>1.06E-2</v>
          </cell>
          <cell r="BP67">
            <v>7.1000000000000004E-3</v>
          </cell>
          <cell r="BQ67">
            <v>1.4E-2</v>
          </cell>
          <cell r="BR67">
            <v>1.0500000000000001E-2</v>
          </cell>
          <cell r="BS67">
            <v>1.06E-2</v>
          </cell>
          <cell r="BT67">
            <v>7.1000000000000004E-3</v>
          </cell>
          <cell r="BU67">
            <v>1.1200000000000002E-2</v>
          </cell>
          <cell r="BV67">
            <v>5.8800000000000007E-3</v>
          </cell>
          <cell r="BW67">
            <v>8.4799999999999997E-3</v>
          </cell>
          <cell r="BX67">
            <v>3.4080000000000004E-3</v>
          </cell>
          <cell r="BY67">
            <v>1.2320000000000003E-2</v>
          </cell>
          <cell r="BZ67">
            <v>6.9300000000000013E-3</v>
          </cell>
          <cell r="CA67">
            <v>8.9600000000000009E-3</v>
          </cell>
          <cell r="CB67">
            <v>4.7039999999999998E-3</v>
          </cell>
          <cell r="CC67">
            <v>6.7840000000000001E-3</v>
          </cell>
          <cell r="CD67">
            <v>2.7263999999999999E-3</v>
          </cell>
          <cell r="CE67">
            <v>8.9600000000000009E-3</v>
          </cell>
          <cell r="CF67">
            <v>4.7039999999999998E-3</v>
          </cell>
          <cell r="CG67">
            <v>6.7840000000000001E-3</v>
          </cell>
          <cell r="CH67">
            <v>2.7263999999999999E-3</v>
          </cell>
          <cell r="CI67">
            <v>1.3100000000000001E-2</v>
          </cell>
          <cell r="CJ67">
            <v>9.6000000000000009E-3</v>
          </cell>
          <cell r="CK67">
            <v>1.18E-2</v>
          </cell>
          <cell r="CL67">
            <v>8.3000000000000001E-3</v>
          </cell>
          <cell r="CM67">
            <v>1.3100000000000001E-2</v>
          </cell>
          <cell r="CN67">
            <v>9.6000000000000009E-3</v>
          </cell>
          <cell r="CO67">
            <v>1.18E-2</v>
          </cell>
          <cell r="CP67">
            <v>8.3000000000000001E-3</v>
          </cell>
          <cell r="CQ67">
            <v>1.0063256512499504E-2</v>
          </cell>
          <cell r="CR67">
            <v>4.9991661384674946E-3</v>
          </cell>
          <cell r="CS67">
            <v>8.6349233300802193E-3</v>
          </cell>
          <cell r="CT67">
            <v>3.46695417914499E-3</v>
          </cell>
          <cell r="CU67">
            <v>1.1069582163749456E-2</v>
          </cell>
          <cell r="CV67">
            <v>5.8918743774795477E-3</v>
          </cell>
          <cell r="CW67">
            <v>8.0506052099996034E-3</v>
          </cell>
          <cell r="CX67">
            <v>4.0447798756691553E-3</v>
          </cell>
          <cell r="CY67">
            <v>6.8819689698383707E-3</v>
          </cell>
          <cell r="CZ67">
            <v>2.7657724350482506E-3</v>
          </cell>
          <cell r="DA67">
            <v>8.0506052099996034E-3</v>
          </cell>
          <cell r="DB67">
            <v>4.0447798756691553E-3</v>
          </cell>
          <cell r="DC67">
            <v>6.8819689698383707E-3</v>
          </cell>
          <cell r="DD67">
            <v>2.7657724350482506E-3</v>
          </cell>
          <cell r="DE67">
            <v>1.0999999999999999E-2</v>
          </cell>
          <cell r="DF67">
            <v>7.4999999999999997E-3</v>
          </cell>
          <cell r="DG67">
            <v>9.7000000000000003E-3</v>
          </cell>
          <cell r="DH67">
            <v>6.1999999999999998E-3</v>
          </cell>
          <cell r="DI67">
            <v>1.83E-2</v>
          </cell>
          <cell r="DJ67">
            <v>1.4800000000000001E-2</v>
          </cell>
          <cell r="DK67">
            <v>1.61E-2</v>
          </cell>
          <cell r="DL67">
            <v>1.26E-2</v>
          </cell>
          <cell r="DM67">
            <v>1.0999999999999999E-2</v>
          </cell>
          <cell r="DN67">
            <v>7.5000000000000006E-3</v>
          </cell>
          <cell r="DO67">
            <v>9.6999999999999986E-3</v>
          </cell>
          <cell r="DP67">
            <v>6.2000000000000006E-3</v>
          </cell>
          <cell r="DQ67">
            <v>1.0999999999999999E-2</v>
          </cell>
          <cell r="DR67">
            <v>7.5000000000000006E-3</v>
          </cell>
          <cell r="DS67">
            <v>9.6999999999999986E-3</v>
          </cell>
          <cell r="DT67">
            <v>6.2000000000000006E-3</v>
          </cell>
          <cell r="DU67">
            <v>8.8000000000000005E-3</v>
          </cell>
          <cell r="DV67">
            <v>5.4000000000000003E-3</v>
          </cell>
          <cell r="DW67">
            <v>7.7999999999999996E-3</v>
          </cell>
          <cell r="DX67">
            <v>4.0000000000000001E-3</v>
          </cell>
          <cell r="DY67">
            <v>9.7000000000000003E-3</v>
          </cell>
          <cell r="DZ67">
            <v>6.0000000000000001E-3</v>
          </cell>
          <cell r="EA67">
            <v>7.3000000000000001E-3</v>
          </cell>
          <cell r="EB67">
            <v>4.4999999999999997E-3</v>
          </cell>
          <cell r="EC67">
            <v>6.4999999999999997E-3</v>
          </cell>
          <cell r="ED67">
            <v>3.3E-3</v>
          </cell>
          <cell r="EE67">
            <v>7.3000000000000001E-3</v>
          </cell>
          <cell r="EF67">
            <v>4.4999999999999997E-3</v>
          </cell>
          <cell r="EG67">
            <v>6.4999999999999997E-3</v>
          </cell>
          <cell r="EH67">
            <v>3.3E-3</v>
          </cell>
          <cell r="EI67">
            <v>1.83E-2</v>
          </cell>
          <cell r="EJ67">
            <v>1.4800000000000001E-2</v>
          </cell>
          <cell r="EK67">
            <v>1.61E-2</v>
          </cell>
          <cell r="EL67">
            <v>1.26E-2</v>
          </cell>
          <cell r="EM67">
            <v>1.0999999999999999E-2</v>
          </cell>
          <cell r="EN67">
            <v>7.5000000000000006E-3</v>
          </cell>
          <cell r="EO67">
            <v>9.6999999999999986E-3</v>
          </cell>
          <cell r="EP67">
            <v>6.2000000000000006E-3</v>
          </cell>
          <cell r="EQ67">
            <v>1.0999999999999999E-2</v>
          </cell>
          <cell r="ER67">
            <v>7.5000000000000006E-3</v>
          </cell>
          <cell r="ES67">
            <v>9.6999999999999986E-3</v>
          </cell>
          <cell r="ET67">
            <v>6.2000000000000006E-3</v>
          </cell>
          <cell r="EU67">
            <v>8.8000000000000005E-3</v>
          </cell>
          <cell r="EV67">
            <v>5.4000000000000003E-3</v>
          </cell>
          <cell r="EW67">
            <v>7.7999999999999996E-3</v>
          </cell>
          <cell r="EX67">
            <v>4.0000000000000001E-3</v>
          </cell>
          <cell r="EY67">
            <v>9.7000000000000003E-3</v>
          </cell>
          <cell r="EZ67">
            <v>6.0000000000000001E-3</v>
          </cell>
          <cell r="FA67">
            <v>7.3000000000000001E-3</v>
          </cell>
          <cell r="FB67">
            <v>4.4999999999999997E-3</v>
          </cell>
          <cell r="FC67">
            <v>6.4999999999999997E-3</v>
          </cell>
          <cell r="FD67">
            <v>3.3E-3</v>
          </cell>
          <cell r="FE67">
            <v>7.3000000000000001E-3</v>
          </cell>
          <cell r="FF67">
            <v>4.4999999999999997E-3</v>
          </cell>
          <cell r="FG67">
            <v>6.4999999999999997E-3</v>
          </cell>
          <cell r="FH67">
            <v>3.3E-3</v>
          </cell>
          <cell r="FI67">
            <v>2.76E-2</v>
          </cell>
          <cell r="FJ67">
            <v>2.4E-2</v>
          </cell>
          <cell r="FK67">
            <v>2.47E-2</v>
          </cell>
          <cell r="FL67">
            <v>2.1100000000000001E-2</v>
          </cell>
          <cell r="FM67">
            <v>2.76E-2</v>
          </cell>
          <cell r="FN67">
            <v>2.4E-2</v>
          </cell>
          <cell r="FO67">
            <v>2.47E-2</v>
          </cell>
          <cell r="FP67">
            <v>2.1100000000000001E-2</v>
          </cell>
          <cell r="FQ67">
            <v>1.11E-2</v>
          </cell>
          <cell r="FR67">
            <v>8.8000000000000005E-3</v>
          </cell>
          <cell r="FS67">
            <v>8.3999999999999995E-3</v>
          </cell>
          <cell r="FT67">
            <v>5.7999999999999996E-3</v>
          </cell>
          <cell r="FU67">
            <v>1.23E-2</v>
          </cell>
          <cell r="FV67">
            <v>9.1000000000000004E-3</v>
          </cell>
          <cell r="FW67">
            <v>9.7000000000000003E-3</v>
          </cell>
          <cell r="FX67">
            <v>7.6E-3</v>
          </cell>
          <cell r="FY67">
            <v>7.3000000000000001E-3</v>
          </cell>
          <cell r="FZ67">
            <v>5.0000000000000001E-3</v>
          </cell>
          <cell r="GA67">
            <v>9.7000000000000003E-3</v>
          </cell>
          <cell r="GB67">
            <v>7.6E-3</v>
          </cell>
          <cell r="GC67">
            <v>7.3000000000000001E-3</v>
          </cell>
          <cell r="GD67">
            <v>5.0000000000000001E-3</v>
          </cell>
          <cell r="GE67">
            <v>2.18E-2</v>
          </cell>
          <cell r="GF67">
            <v>1.9300000000000001E-2</v>
          </cell>
          <cell r="GG67">
            <v>1.9799999999999998E-2</v>
          </cell>
          <cell r="GH67">
            <v>1.6299999999999999E-2</v>
          </cell>
          <cell r="GI67">
            <v>2.18E-2</v>
          </cell>
          <cell r="GJ67">
            <v>1.9300000000000001E-2</v>
          </cell>
          <cell r="GK67">
            <v>1.9799999999999998E-2</v>
          </cell>
          <cell r="GL67">
            <v>1.6299999999999999E-2</v>
          </cell>
          <cell r="GM67">
            <v>1.11E-2</v>
          </cell>
          <cell r="GN67">
            <v>8.3999999999999995E-3</v>
          </cell>
          <cell r="GO67">
            <v>8.3999999999999995E-3</v>
          </cell>
          <cell r="GP67">
            <v>5.5999999999999999E-3</v>
          </cell>
          <cell r="GQ67">
            <v>1.23E-2</v>
          </cell>
          <cell r="GR67">
            <v>8.8000000000000005E-3</v>
          </cell>
          <cell r="GS67">
            <v>9.7000000000000003E-3</v>
          </cell>
          <cell r="GT67">
            <v>7.3000000000000001E-3</v>
          </cell>
          <cell r="GU67">
            <v>7.3000000000000001E-3</v>
          </cell>
          <cell r="GV67">
            <v>4.7999999999999996E-3</v>
          </cell>
          <cell r="GW67">
            <v>9.7000000000000003E-3</v>
          </cell>
          <cell r="GX67">
            <v>7.3000000000000001E-3</v>
          </cell>
          <cell r="GY67">
            <v>7.3000000000000001E-3</v>
          </cell>
          <cell r="GZ67">
            <v>4.7999999999999996E-3</v>
          </cell>
          <cell r="HA67">
            <v>2.18E-2</v>
          </cell>
          <cell r="HB67">
            <v>1.9300000000000001E-2</v>
          </cell>
          <cell r="HC67">
            <v>1.9799999999999998E-2</v>
          </cell>
          <cell r="HD67">
            <v>1.6299999999999999E-2</v>
          </cell>
          <cell r="HE67">
            <v>2.18E-2</v>
          </cell>
          <cell r="HF67">
            <v>1.9300000000000001E-2</v>
          </cell>
          <cell r="HG67">
            <v>1.9799999999999998E-2</v>
          </cell>
          <cell r="HH67">
            <v>1.6299999999999999E-2</v>
          </cell>
          <cell r="HI67">
            <v>1.11E-2</v>
          </cell>
          <cell r="HJ67">
            <v>8.2000000000000007E-3</v>
          </cell>
          <cell r="HK67">
            <v>8.3999999999999995E-3</v>
          </cell>
          <cell r="HL67">
            <v>5.4000000000000003E-3</v>
          </cell>
          <cell r="HM67">
            <v>1.23E-2</v>
          </cell>
          <cell r="HN67">
            <v>8.6E-3</v>
          </cell>
          <cell r="HO67">
            <v>9.7000000000000003E-3</v>
          </cell>
          <cell r="HP67">
            <v>7.1000000000000004E-3</v>
          </cell>
          <cell r="HQ67">
            <v>7.3000000000000001E-3</v>
          </cell>
          <cell r="HR67">
            <v>4.7000000000000002E-3</v>
          </cell>
          <cell r="HS67">
            <v>9.7000000000000003E-3</v>
          </cell>
          <cell r="HT67">
            <v>7.1000000000000004E-3</v>
          </cell>
          <cell r="HU67">
            <v>7.3000000000000001E-3</v>
          </cell>
          <cell r="HV67">
            <v>4.7000000000000002E-3</v>
          </cell>
          <cell r="HW67" t="str">
            <v>%PPL</v>
          </cell>
        </row>
        <row r="68">
          <cell r="AV68" t="str">
            <v>7x50 2-Port 100GE IMM (L3BQ/L2HQ/L3HQ)</v>
          </cell>
          <cell r="AW68">
            <v>0.8</v>
          </cell>
          <cell r="AX68">
            <v>0.7</v>
          </cell>
          <cell r="AY68">
            <v>0.75</v>
          </cell>
          <cell r="AZ68">
            <v>0.75</v>
          </cell>
          <cell r="BA68">
            <v>0.71299999999999997</v>
          </cell>
          <cell r="BB68">
            <v>0.75</v>
          </cell>
          <cell r="BC68">
            <v>0.75</v>
          </cell>
          <cell r="BD68">
            <v>0.71299999999999997</v>
          </cell>
          <cell r="BE68">
            <v>0.75</v>
          </cell>
          <cell r="BF68">
            <v>0.75</v>
          </cell>
          <cell r="BG68">
            <v>0.75</v>
          </cell>
          <cell r="BH68">
            <v>0.75</v>
          </cell>
          <cell r="BI68">
            <v>0.84</v>
          </cell>
          <cell r="BJ68">
            <v>0.6</v>
          </cell>
          <cell r="BK68">
            <v>2.5000000000000001E-2</v>
          </cell>
          <cell r="BL68" t="str">
            <v>%PMP</v>
          </cell>
          <cell r="BM68">
            <v>1.4E-2</v>
          </cell>
          <cell r="BN68">
            <v>1.0500000000000001E-2</v>
          </cell>
          <cell r="BO68">
            <v>1.06E-2</v>
          </cell>
          <cell r="BP68">
            <v>7.1000000000000004E-3</v>
          </cell>
          <cell r="BQ68">
            <v>1.4E-2</v>
          </cell>
          <cell r="BR68">
            <v>1.0500000000000001E-2</v>
          </cell>
          <cell r="BS68">
            <v>1.06E-2</v>
          </cell>
          <cell r="BT68">
            <v>7.1000000000000004E-3</v>
          </cell>
          <cell r="BU68">
            <v>1.1200000000000002E-2</v>
          </cell>
          <cell r="BV68">
            <v>5.8800000000000007E-3</v>
          </cell>
          <cell r="BW68">
            <v>8.4799999999999997E-3</v>
          </cell>
          <cell r="BX68">
            <v>3.4080000000000004E-3</v>
          </cell>
          <cell r="BY68">
            <v>1.2320000000000003E-2</v>
          </cell>
          <cell r="BZ68">
            <v>6.9300000000000013E-3</v>
          </cell>
          <cell r="CA68">
            <v>8.9600000000000009E-3</v>
          </cell>
          <cell r="CB68">
            <v>4.7039999999999998E-3</v>
          </cell>
          <cell r="CC68">
            <v>6.7840000000000001E-3</v>
          </cell>
          <cell r="CD68">
            <v>2.7263999999999999E-3</v>
          </cell>
          <cell r="CE68">
            <v>8.9600000000000009E-3</v>
          </cell>
          <cell r="CF68">
            <v>4.7039999999999998E-3</v>
          </cell>
          <cell r="CG68">
            <v>6.7840000000000001E-3</v>
          </cell>
          <cell r="CH68">
            <v>2.7263999999999999E-3</v>
          </cell>
          <cell r="CI68">
            <v>1.3100000000000001E-2</v>
          </cell>
          <cell r="CJ68">
            <v>9.6000000000000009E-3</v>
          </cell>
          <cell r="CK68">
            <v>1.18E-2</v>
          </cell>
          <cell r="CL68">
            <v>8.3000000000000001E-3</v>
          </cell>
          <cell r="CM68">
            <v>1.3100000000000001E-2</v>
          </cell>
          <cell r="CN68">
            <v>9.6000000000000009E-3</v>
          </cell>
          <cell r="CO68">
            <v>1.18E-2</v>
          </cell>
          <cell r="CP68">
            <v>8.3000000000000001E-3</v>
          </cell>
          <cell r="CQ68">
            <v>1.0063256512499504E-2</v>
          </cell>
          <cell r="CR68">
            <v>4.9991661384674946E-3</v>
          </cell>
          <cell r="CS68">
            <v>8.6349233300802193E-3</v>
          </cell>
          <cell r="CT68">
            <v>3.46695417914499E-3</v>
          </cell>
          <cell r="CU68">
            <v>1.1069582163749456E-2</v>
          </cell>
          <cell r="CV68">
            <v>5.8918743774795477E-3</v>
          </cell>
          <cell r="CW68">
            <v>8.0506052099996034E-3</v>
          </cell>
          <cell r="CX68">
            <v>4.0447798756691553E-3</v>
          </cell>
          <cell r="CY68">
            <v>6.8819689698383707E-3</v>
          </cell>
          <cell r="CZ68">
            <v>2.7657724350482506E-3</v>
          </cell>
          <cell r="DA68">
            <v>8.0506052099996034E-3</v>
          </cell>
          <cell r="DB68">
            <v>4.0447798756691553E-3</v>
          </cell>
          <cell r="DC68">
            <v>6.8819689698383707E-3</v>
          </cell>
          <cell r="DD68">
            <v>2.7657724350482506E-3</v>
          </cell>
          <cell r="DE68">
            <v>1.0999999999999999E-2</v>
          </cell>
          <cell r="DF68">
            <v>7.4999999999999997E-3</v>
          </cell>
          <cell r="DG68">
            <v>9.7000000000000003E-3</v>
          </cell>
          <cell r="DH68">
            <v>6.1999999999999998E-3</v>
          </cell>
          <cell r="DI68">
            <v>1.83E-2</v>
          </cell>
          <cell r="DJ68">
            <v>1.4800000000000001E-2</v>
          </cell>
          <cell r="DK68">
            <v>1.61E-2</v>
          </cell>
          <cell r="DL68">
            <v>1.26E-2</v>
          </cell>
          <cell r="DM68">
            <v>1.0999999999999999E-2</v>
          </cell>
          <cell r="DN68">
            <v>7.5000000000000006E-3</v>
          </cell>
          <cell r="DO68">
            <v>9.6999999999999986E-3</v>
          </cell>
          <cell r="DP68">
            <v>6.2000000000000006E-3</v>
          </cell>
          <cell r="DQ68">
            <v>1.0999999999999999E-2</v>
          </cell>
          <cell r="DR68">
            <v>7.5000000000000006E-3</v>
          </cell>
          <cell r="DS68">
            <v>9.6999999999999986E-3</v>
          </cell>
          <cell r="DT68">
            <v>6.2000000000000006E-3</v>
          </cell>
          <cell r="DU68">
            <v>8.8000000000000005E-3</v>
          </cell>
          <cell r="DV68">
            <v>5.4000000000000003E-3</v>
          </cell>
          <cell r="DW68">
            <v>7.7999999999999996E-3</v>
          </cell>
          <cell r="DX68">
            <v>4.0000000000000001E-3</v>
          </cell>
          <cell r="DY68">
            <v>9.7000000000000003E-3</v>
          </cell>
          <cell r="DZ68">
            <v>6.0000000000000001E-3</v>
          </cell>
          <cell r="EA68">
            <v>7.3000000000000001E-3</v>
          </cell>
          <cell r="EB68">
            <v>4.4999999999999997E-3</v>
          </cell>
          <cell r="EC68">
            <v>6.4999999999999997E-3</v>
          </cell>
          <cell r="ED68">
            <v>3.3E-3</v>
          </cell>
          <cell r="EE68">
            <v>7.3000000000000001E-3</v>
          </cell>
          <cell r="EF68">
            <v>4.4999999999999997E-3</v>
          </cell>
          <cell r="EG68">
            <v>6.4999999999999997E-3</v>
          </cell>
          <cell r="EH68">
            <v>3.3E-3</v>
          </cell>
          <cell r="EI68">
            <v>1.83E-2</v>
          </cell>
          <cell r="EJ68">
            <v>1.4800000000000001E-2</v>
          </cell>
          <cell r="EK68">
            <v>1.61E-2</v>
          </cell>
          <cell r="EL68">
            <v>1.26E-2</v>
          </cell>
          <cell r="EM68">
            <v>1.0999999999999999E-2</v>
          </cell>
          <cell r="EN68">
            <v>7.5000000000000006E-3</v>
          </cell>
          <cell r="EO68">
            <v>9.6999999999999986E-3</v>
          </cell>
          <cell r="EP68">
            <v>6.2000000000000006E-3</v>
          </cell>
          <cell r="EQ68">
            <v>1.0999999999999999E-2</v>
          </cell>
          <cell r="ER68">
            <v>7.5000000000000006E-3</v>
          </cell>
          <cell r="ES68">
            <v>9.6999999999999986E-3</v>
          </cell>
          <cell r="ET68">
            <v>6.2000000000000006E-3</v>
          </cell>
          <cell r="EU68">
            <v>8.8000000000000005E-3</v>
          </cell>
          <cell r="EV68">
            <v>5.4000000000000003E-3</v>
          </cell>
          <cell r="EW68">
            <v>7.7999999999999996E-3</v>
          </cell>
          <cell r="EX68">
            <v>4.0000000000000001E-3</v>
          </cell>
          <cell r="EY68">
            <v>9.7000000000000003E-3</v>
          </cell>
          <cell r="EZ68">
            <v>6.0000000000000001E-3</v>
          </cell>
          <cell r="FA68">
            <v>7.3000000000000001E-3</v>
          </cell>
          <cell r="FB68">
            <v>4.4999999999999997E-3</v>
          </cell>
          <cell r="FC68">
            <v>6.4999999999999997E-3</v>
          </cell>
          <cell r="FD68">
            <v>3.3E-3</v>
          </cell>
          <cell r="FE68">
            <v>7.3000000000000001E-3</v>
          </cell>
          <cell r="FF68">
            <v>4.4999999999999997E-3</v>
          </cell>
          <cell r="FG68">
            <v>6.4999999999999997E-3</v>
          </cell>
          <cell r="FH68">
            <v>3.3E-3</v>
          </cell>
          <cell r="FI68">
            <v>2.76E-2</v>
          </cell>
          <cell r="FJ68">
            <v>2.4E-2</v>
          </cell>
          <cell r="FK68">
            <v>2.47E-2</v>
          </cell>
          <cell r="FL68">
            <v>2.1100000000000001E-2</v>
          </cell>
          <cell r="FM68">
            <v>2.76E-2</v>
          </cell>
          <cell r="FN68">
            <v>2.4E-2</v>
          </cell>
          <cell r="FO68">
            <v>2.47E-2</v>
          </cell>
          <cell r="FP68">
            <v>2.1100000000000001E-2</v>
          </cell>
          <cell r="FQ68">
            <v>1.11E-2</v>
          </cell>
          <cell r="FR68">
            <v>8.8000000000000005E-3</v>
          </cell>
          <cell r="FS68">
            <v>8.3999999999999995E-3</v>
          </cell>
          <cell r="FT68">
            <v>5.7999999999999996E-3</v>
          </cell>
          <cell r="FU68">
            <v>1.23E-2</v>
          </cell>
          <cell r="FV68">
            <v>9.1000000000000004E-3</v>
          </cell>
          <cell r="FW68">
            <v>9.7000000000000003E-3</v>
          </cell>
          <cell r="FX68">
            <v>7.6E-3</v>
          </cell>
          <cell r="FY68">
            <v>7.3000000000000001E-3</v>
          </cell>
          <cell r="FZ68">
            <v>5.0000000000000001E-3</v>
          </cell>
          <cell r="GA68">
            <v>9.7000000000000003E-3</v>
          </cell>
          <cell r="GB68">
            <v>7.6E-3</v>
          </cell>
          <cell r="GC68">
            <v>7.3000000000000001E-3</v>
          </cell>
          <cell r="GD68">
            <v>5.0000000000000001E-3</v>
          </cell>
          <cell r="GE68">
            <v>2.18E-2</v>
          </cell>
          <cell r="GF68">
            <v>1.9300000000000001E-2</v>
          </cell>
          <cell r="GG68">
            <v>1.9799999999999998E-2</v>
          </cell>
          <cell r="GH68">
            <v>1.6299999999999999E-2</v>
          </cell>
          <cell r="GI68">
            <v>2.18E-2</v>
          </cell>
          <cell r="GJ68">
            <v>1.9300000000000001E-2</v>
          </cell>
          <cell r="GK68">
            <v>1.9799999999999998E-2</v>
          </cell>
          <cell r="GL68">
            <v>1.6299999999999999E-2</v>
          </cell>
          <cell r="GM68">
            <v>1.11E-2</v>
          </cell>
          <cell r="GN68">
            <v>8.3999999999999995E-3</v>
          </cell>
          <cell r="GO68">
            <v>8.3999999999999995E-3</v>
          </cell>
          <cell r="GP68">
            <v>5.5999999999999999E-3</v>
          </cell>
          <cell r="GQ68">
            <v>1.23E-2</v>
          </cell>
          <cell r="GR68">
            <v>8.8000000000000005E-3</v>
          </cell>
          <cell r="GS68">
            <v>9.7000000000000003E-3</v>
          </cell>
          <cell r="GT68">
            <v>7.3000000000000001E-3</v>
          </cell>
          <cell r="GU68">
            <v>7.3000000000000001E-3</v>
          </cell>
          <cell r="GV68">
            <v>4.7999999999999996E-3</v>
          </cell>
          <cell r="GW68">
            <v>9.7000000000000003E-3</v>
          </cell>
          <cell r="GX68">
            <v>7.3000000000000001E-3</v>
          </cell>
          <cell r="GY68">
            <v>7.3000000000000001E-3</v>
          </cell>
          <cell r="GZ68">
            <v>4.7999999999999996E-3</v>
          </cell>
          <cell r="HA68">
            <v>2.18E-2</v>
          </cell>
          <cell r="HB68">
            <v>1.9300000000000001E-2</v>
          </cell>
          <cell r="HC68">
            <v>1.9799999999999998E-2</v>
          </cell>
          <cell r="HD68">
            <v>1.6299999999999999E-2</v>
          </cell>
          <cell r="HE68">
            <v>2.18E-2</v>
          </cell>
          <cell r="HF68">
            <v>1.9300000000000001E-2</v>
          </cell>
          <cell r="HG68">
            <v>1.9799999999999998E-2</v>
          </cell>
          <cell r="HH68">
            <v>1.6299999999999999E-2</v>
          </cell>
          <cell r="HI68">
            <v>1.11E-2</v>
          </cell>
          <cell r="HJ68">
            <v>8.2000000000000007E-3</v>
          </cell>
          <cell r="HK68">
            <v>8.3999999999999995E-3</v>
          </cell>
          <cell r="HL68">
            <v>5.4000000000000003E-3</v>
          </cell>
          <cell r="HM68">
            <v>1.23E-2</v>
          </cell>
          <cell r="HN68">
            <v>8.6E-3</v>
          </cell>
          <cell r="HO68">
            <v>9.7000000000000003E-3</v>
          </cell>
          <cell r="HP68">
            <v>7.1000000000000004E-3</v>
          </cell>
          <cell r="HQ68">
            <v>7.3000000000000001E-3</v>
          </cell>
          <cell r="HR68">
            <v>4.7000000000000002E-3</v>
          </cell>
          <cell r="HS68">
            <v>9.7000000000000003E-3</v>
          </cell>
          <cell r="HT68">
            <v>7.1000000000000004E-3</v>
          </cell>
          <cell r="HU68">
            <v>7.3000000000000001E-3</v>
          </cell>
          <cell r="HV68">
            <v>4.7000000000000002E-3</v>
          </cell>
          <cell r="HW68" t="str">
            <v>%PPL</v>
          </cell>
        </row>
        <row r="69">
          <cell r="AV69" t="str">
            <v>7x50 40-Port 10GE IMM L3BQ/L2HQ</v>
          </cell>
          <cell r="AW69">
            <v>0.8</v>
          </cell>
          <cell r="AX69">
            <v>0.7</v>
          </cell>
          <cell r="AY69">
            <v>0.75</v>
          </cell>
          <cell r="AZ69">
            <v>0.75</v>
          </cell>
          <cell r="BA69">
            <v>0.71299999999999997</v>
          </cell>
          <cell r="BB69">
            <v>0.75</v>
          </cell>
          <cell r="BC69">
            <v>0.75</v>
          </cell>
          <cell r="BD69">
            <v>0.71299999999999997</v>
          </cell>
          <cell r="BE69">
            <v>0.75</v>
          </cell>
          <cell r="BF69">
            <v>0.75</v>
          </cell>
          <cell r="BG69">
            <v>0.75</v>
          </cell>
          <cell r="BH69">
            <v>0.75</v>
          </cell>
          <cell r="BI69">
            <v>0.79</v>
          </cell>
          <cell r="BJ69">
            <v>0.6</v>
          </cell>
          <cell r="BK69">
            <v>2.5000000000000001E-2</v>
          </cell>
          <cell r="BL69" t="str">
            <v>%PMP</v>
          </cell>
          <cell r="BM69">
            <v>1.4E-2</v>
          </cell>
          <cell r="BN69">
            <v>1.0500000000000001E-2</v>
          </cell>
          <cell r="BO69">
            <v>1.06E-2</v>
          </cell>
          <cell r="BP69">
            <v>7.1000000000000004E-3</v>
          </cell>
          <cell r="BQ69">
            <v>1.4E-2</v>
          </cell>
          <cell r="BR69">
            <v>1.0500000000000001E-2</v>
          </cell>
          <cell r="BS69">
            <v>1.06E-2</v>
          </cell>
          <cell r="BT69">
            <v>7.1000000000000004E-3</v>
          </cell>
          <cell r="BU69">
            <v>1.1200000000000002E-2</v>
          </cell>
          <cell r="BV69">
            <v>5.8800000000000007E-3</v>
          </cell>
          <cell r="BW69">
            <v>8.4799999999999997E-3</v>
          </cell>
          <cell r="BX69">
            <v>3.4080000000000004E-3</v>
          </cell>
          <cell r="BY69">
            <v>1.2320000000000003E-2</v>
          </cell>
          <cell r="BZ69">
            <v>6.9300000000000013E-3</v>
          </cell>
          <cell r="CA69">
            <v>8.9600000000000009E-3</v>
          </cell>
          <cell r="CB69">
            <v>4.7039999999999998E-3</v>
          </cell>
          <cell r="CC69">
            <v>6.7840000000000001E-3</v>
          </cell>
          <cell r="CD69">
            <v>2.7263999999999999E-3</v>
          </cell>
          <cell r="CE69">
            <v>8.9600000000000009E-3</v>
          </cell>
          <cell r="CF69">
            <v>4.7039999999999998E-3</v>
          </cell>
          <cell r="CG69">
            <v>6.7840000000000001E-3</v>
          </cell>
          <cell r="CH69">
            <v>2.7263999999999999E-3</v>
          </cell>
          <cell r="CI69">
            <v>1.3100000000000001E-2</v>
          </cell>
          <cell r="CJ69">
            <v>9.6000000000000009E-3</v>
          </cell>
          <cell r="CK69">
            <v>1.18E-2</v>
          </cell>
          <cell r="CL69">
            <v>8.3000000000000001E-3</v>
          </cell>
          <cell r="CM69">
            <v>1.3100000000000001E-2</v>
          </cell>
          <cell r="CN69">
            <v>9.6000000000000009E-3</v>
          </cell>
          <cell r="CO69">
            <v>1.18E-2</v>
          </cell>
          <cell r="CP69">
            <v>8.3000000000000001E-3</v>
          </cell>
          <cell r="CQ69">
            <v>1.0063256512499504E-2</v>
          </cell>
          <cell r="CR69">
            <v>4.9991661384674946E-3</v>
          </cell>
          <cell r="CS69">
            <v>8.6349233300802193E-3</v>
          </cell>
          <cell r="CT69">
            <v>3.46695417914499E-3</v>
          </cell>
          <cell r="CU69">
            <v>1.1069582163749456E-2</v>
          </cell>
          <cell r="CV69">
            <v>5.8918743774795477E-3</v>
          </cell>
          <cell r="CW69">
            <v>8.0506052099996034E-3</v>
          </cell>
          <cell r="CX69">
            <v>4.0447798756691553E-3</v>
          </cell>
          <cell r="CY69">
            <v>6.8819689698383707E-3</v>
          </cell>
          <cell r="CZ69">
            <v>2.7657724350482506E-3</v>
          </cell>
          <cell r="DA69">
            <v>8.0506052099996034E-3</v>
          </cell>
          <cell r="DB69">
            <v>4.0447798756691553E-3</v>
          </cell>
          <cell r="DC69">
            <v>6.8819689698383707E-3</v>
          </cell>
          <cell r="DD69">
            <v>2.7657724350482506E-3</v>
          </cell>
          <cell r="DE69">
            <v>1.0999999999999999E-2</v>
          </cell>
          <cell r="DF69">
            <v>7.4999999999999997E-3</v>
          </cell>
          <cell r="DG69">
            <v>9.7000000000000003E-3</v>
          </cell>
          <cell r="DH69">
            <v>6.1999999999999998E-3</v>
          </cell>
          <cell r="DI69">
            <v>1.83E-2</v>
          </cell>
          <cell r="DJ69">
            <v>1.4800000000000001E-2</v>
          </cell>
          <cell r="DK69">
            <v>1.61E-2</v>
          </cell>
          <cell r="DL69">
            <v>1.26E-2</v>
          </cell>
          <cell r="DM69">
            <v>1.0999999999999999E-2</v>
          </cell>
          <cell r="DN69">
            <v>7.5000000000000006E-3</v>
          </cell>
          <cell r="DO69">
            <v>9.6999999999999986E-3</v>
          </cell>
          <cell r="DP69">
            <v>6.2000000000000006E-3</v>
          </cell>
          <cell r="DQ69">
            <v>1.0999999999999999E-2</v>
          </cell>
          <cell r="DR69">
            <v>7.5000000000000006E-3</v>
          </cell>
          <cell r="DS69">
            <v>9.6999999999999986E-3</v>
          </cell>
          <cell r="DT69">
            <v>6.2000000000000006E-3</v>
          </cell>
          <cell r="DU69">
            <v>8.8000000000000005E-3</v>
          </cell>
          <cell r="DV69">
            <v>5.4000000000000003E-3</v>
          </cell>
          <cell r="DW69">
            <v>7.7999999999999996E-3</v>
          </cell>
          <cell r="DX69">
            <v>4.0000000000000001E-3</v>
          </cell>
          <cell r="DY69">
            <v>9.7000000000000003E-3</v>
          </cell>
          <cell r="DZ69">
            <v>6.0000000000000001E-3</v>
          </cell>
          <cell r="EA69">
            <v>7.3000000000000001E-3</v>
          </cell>
          <cell r="EB69">
            <v>4.4999999999999997E-3</v>
          </cell>
          <cell r="EC69">
            <v>6.4999999999999997E-3</v>
          </cell>
          <cell r="ED69">
            <v>3.3E-3</v>
          </cell>
          <cell r="EE69">
            <v>7.3000000000000001E-3</v>
          </cell>
          <cell r="EF69">
            <v>4.4999999999999997E-3</v>
          </cell>
          <cell r="EG69">
            <v>6.4999999999999997E-3</v>
          </cell>
          <cell r="EH69">
            <v>3.3E-3</v>
          </cell>
          <cell r="EI69">
            <v>1.83E-2</v>
          </cell>
          <cell r="EJ69">
            <v>1.4800000000000001E-2</v>
          </cell>
          <cell r="EK69">
            <v>1.61E-2</v>
          </cell>
          <cell r="EL69">
            <v>1.26E-2</v>
          </cell>
          <cell r="EM69">
            <v>1.0999999999999999E-2</v>
          </cell>
          <cell r="EN69">
            <v>7.5000000000000006E-3</v>
          </cell>
          <cell r="EO69">
            <v>9.6999999999999986E-3</v>
          </cell>
          <cell r="EP69">
            <v>6.2000000000000006E-3</v>
          </cell>
          <cell r="EQ69">
            <v>1.0999999999999999E-2</v>
          </cell>
          <cell r="ER69">
            <v>7.5000000000000006E-3</v>
          </cell>
          <cell r="ES69">
            <v>9.6999999999999986E-3</v>
          </cell>
          <cell r="ET69">
            <v>6.2000000000000006E-3</v>
          </cell>
          <cell r="EU69">
            <v>8.8000000000000005E-3</v>
          </cell>
          <cell r="EV69">
            <v>5.4000000000000003E-3</v>
          </cell>
          <cell r="EW69">
            <v>7.7999999999999996E-3</v>
          </cell>
          <cell r="EX69">
            <v>4.0000000000000001E-3</v>
          </cell>
          <cell r="EY69">
            <v>9.7000000000000003E-3</v>
          </cell>
          <cell r="EZ69">
            <v>6.0000000000000001E-3</v>
          </cell>
          <cell r="FA69">
            <v>7.3000000000000001E-3</v>
          </cell>
          <cell r="FB69">
            <v>4.4999999999999997E-3</v>
          </cell>
          <cell r="FC69">
            <v>6.4999999999999997E-3</v>
          </cell>
          <cell r="FD69">
            <v>3.3E-3</v>
          </cell>
          <cell r="FE69">
            <v>7.3000000000000001E-3</v>
          </cell>
          <cell r="FF69">
            <v>4.4999999999999997E-3</v>
          </cell>
          <cell r="FG69">
            <v>6.4999999999999997E-3</v>
          </cell>
          <cell r="FH69">
            <v>3.3E-3</v>
          </cell>
          <cell r="FI69">
            <v>2.76E-2</v>
          </cell>
          <cell r="FJ69">
            <v>2.4E-2</v>
          </cell>
          <cell r="FK69">
            <v>2.47E-2</v>
          </cell>
          <cell r="FL69">
            <v>2.1100000000000001E-2</v>
          </cell>
          <cell r="FM69">
            <v>2.76E-2</v>
          </cell>
          <cell r="FN69">
            <v>2.4E-2</v>
          </cell>
          <cell r="FO69">
            <v>2.47E-2</v>
          </cell>
          <cell r="FP69">
            <v>2.1100000000000001E-2</v>
          </cell>
          <cell r="FQ69">
            <v>1.11E-2</v>
          </cell>
          <cell r="FR69">
            <v>8.8000000000000005E-3</v>
          </cell>
          <cell r="FS69">
            <v>8.3999999999999995E-3</v>
          </cell>
          <cell r="FT69">
            <v>5.7999999999999996E-3</v>
          </cell>
          <cell r="FU69">
            <v>1.23E-2</v>
          </cell>
          <cell r="FV69">
            <v>9.1000000000000004E-3</v>
          </cell>
          <cell r="FW69">
            <v>9.7000000000000003E-3</v>
          </cell>
          <cell r="FX69">
            <v>7.6E-3</v>
          </cell>
          <cell r="FY69">
            <v>7.3000000000000001E-3</v>
          </cell>
          <cell r="FZ69">
            <v>5.0000000000000001E-3</v>
          </cell>
          <cell r="GA69">
            <v>9.7000000000000003E-3</v>
          </cell>
          <cell r="GB69">
            <v>7.6E-3</v>
          </cell>
          <cell r="GC69">
            <v>7.3000000000000001E-3</v>
          </cell>
          <cell r="GD69">
            <v>5.0000000000000001E-3</v>
          </cell>
          <cell r="GE69">
            <v>2.18E-2</v>
          </cell>
          <cell r="GF69">
            <v>1.9300000000000001E-2</v>
          </cell>
          <cell r="GG69">
            <v>1.9799999999999998E-2</v>
          </cell>
          <cell r="GH69">
            <v>1.6299999999999999E-2</v>
          </cell>
          <cell r="GI69">
            <v>2.18E-2</v>
          </cell>
          <cell r="GJ69">
            <v>1.9300000000000001E-2</v>
          </cell>
          <cell r="GK69">
            <v>1.9799999999999998E-2</v>
          </cell>
          <cell r="GL69">
            <v>1.6299999999999999E-2</v>
          </cell>
          <cell r="GM69">
            <v>1.11E-2</v>
          </cell>
          <cell r="GN69">
            <v>8.3999999999999995E-3</v>
          </cell>
          <cell r="GO69">
            <v>8.3999999999999995E-3</v>
          </cell>
          <cell r="GP69">
            <v>5.5999999999999999E-3</v>
          </cell>
          <cell r="GQ69">
            <v>1.23E-2</v>
          </cell>
          <cell r="GR69">
            <v>8.8000000000000005E-3</v>
          </cell>
          <cell r="GS69">
            <v>9.7000000000000003E-3</v>
          </cell>
          <cell r="GT69">
            <v>7.3000000000000001E-3</v>
          </cell>
          <cell r="GU69">
            <v>7.3000000000000001E-3</v>
          </cell>
          <cell r="GV69">
            <v>4.7999999999999996E-3</v>
          </cell>
          <cell r="GW69">
            <v>9.7000000000000003E-3</v>
          </cell>
          <cell r="GX69">
            <v>7.3000000000000001E-3</v>
          </cell>
          <cell r="GY69">
            <v>7.3000000000000001E-3</v>
          </cell>
          <cell r="GZ69">
            <v>4.7999999999999996E-3</v>
          </cell>
          <cell r="HA69">
            <v>2.18E-2</v>
          </cell>
          <cell r="HB69">
            <v>1.9300000000000001E-2</v>
          </cell>
          <cell r="HC69">
            <v>1.9799999999999998E-2</v>
          </cell>
          <cell r="HD69">
            <v>1.6299999999999999E-2</v>
          </cell>
          <cell r="HE69">
            <v>2.18E-2</v>
          </cell>
          <cell r="HF69">
            <v>1.9300000000000001E-2</v>
          </cell>
          <cell r="HG69">
            <v>1.9799999999999998E-2</v>
          </cell>
          <cell r="HH69">
            <v>1.6299999999999999E-2</v>
          </cell>
          <cell r="HI69">
            <v>1.11E-2</v>
          </cell>
          <cell r="HJ69">
            <v>8.2000000000000007E-3</v>
          </cell>
          <cell r="HK69">
            <v>8.3999999999999995E-3</v>
          </cell>
          <cell r="HL69">
            <v>5.4000000000000003E-3</v>
          </cell>
          <cell r="HM69">
            <v>1.23E-2</v>
          </cell>
          <cell r="HN69">
            <v>8.6E-3</v>
          </cell>
          <cell r="HO69">
            <v>9.7000000000000003E-3</v>
          </cell>
          <cell r="HP69">
            <v>7.1000000000000004E-3</v>
          </cell>
          <cell r="HQ69">
            <v>7.3000000000000001E-3</v>
          </cell>
          <cell r="HR69">
            <v>4.7000000000000002E-3</v>
          </cell>
          <cell r="HS69">
            <v>9.7000000000000003E-3</v>
          </cell>
          <cell r="HT69">
            <v>7.1000000000000004E-3</v>
          </cell>
          <cell r="HU69">
            <v>7.3000000000000001E-3</v>
          </cell>
          <cell r="HV69">
            <v>4.7000000000000002E-3</v>
          </cell>
          <cell r="HW69" t="str">
            <v>%PPL</v>
          </cell>
        </row>
        <row r="70">
          <cell r="AV70" t="str">
            <v>7x50 40-Port 10GE IMM L3HQ</v>
          </cell>
          <cell r="AW70">
            <v>0.8</v>
          </cell>
          <cell r="AX70">
            <v>0.7</v>
          </cell>
          <cell r="AY70">
            <v>0.75</v>
          </cell>
          <cell r="AZ70">
            <v>0.75</v>
          </cell>
          <cell r="BA70">
            <v>0.71299999999999997</v>
          </cell>
          <cell r="BB70">
            <v>0.75</v>
          </cell>
          <cell r="BC70">
            <v>0.75</v>
          </cell>
          <cell r="BD70">
            <v>0.71299999999999997</v>
          </cell>
          <cell r="BE70">
            <v>0.75</v>
          </cell>
          <cell r="BF70">
            <v>0.75</v>
          </cell>
          <cell r="BG70">
            <v>0.75</v>
          </cell>
          <cell r="BH70">
            <v>0.75</v>
          </cell>
          <cell r="BI70">
            <v>0.82</v>
          </cell>
          <cell r="BJ70">
            <v>0.6</v>
          </cell>
          <cell r="BK70">
            <v>2.5000000000000001E-2</v>
          </cell>
          <cell r="BL70" t="str">
            <v>%PMP</v>
          </cell>
          <cell r="BM70">
            <v>1.4E-2</v>
          </cell>
          <cell r="BN70">
            <v>1.0500000000000001E-2</v>
          </cell>
          <cell r="BO70">
            <v>1.06E-2</v>
          </cell>
          <cell r="BP70">
            <v>7.1000000000000004E-3</v>
          </cell>
          <cell r="BQ70">
            <v>1.4E-2</v>
          </cell>
          <cell r="BR70">
            <v>1.0500000000000001E-2</v>
          </cell>
          <cell r="BS70">
            <v>1.06E-2</v>
          </cell>
          <cell r="BT70">
            <v>7.1000000000000004E-3</v>
          </cell>
          <cell r="BU70">
            <v>1.1200000000000002E-2</v>
          </cell>
          <cell r="BV70">
            <v>5.8800000000000007E-3</v>
          </cell>
          <cell r="BW70">
            <v>8.4799999999999997E-3</v>
          </cell>
          <cell r="BX70">
            <v>3.4080000000000004E-3</v>
          </cell>
          <cell r="BY70">
            <v>1.2320000000000003E-2</v>
          </cell>
          <cell r="BZ70">
            <v>6.9300000000000013E-3</v>
          </cell>
          <cell r="CA70">
            <v>8.9600000000000009E-3</v>
          </cell>
          <cell r="CB70">
            <v>4.7039999999999998E-3</v>
          </cell>
          <cell r="CC70">
            <v>6.7840000000000001E-3</v>
          </cell>
          <cell r="CD70">
            <v>2.7263999999999999E-3</v>
          </cell>
          <cell r="CE70">
            <v>8.9600000000000009E-3</v>
          </cell>
          <cell r="CF70">
            <v>4.7039999999999998E-3</v>
          </cell>
          <cell r="CG70">
            <v>6.7840000000000001E-3</v>
          </cell>
          <cell r="CH70">
            <v>2.7263999999999999E-3</v>
          </cell>
          <cell r="CI70">
            <v>1.3100000000000001E-2</v>
          </cell>
          <cell r="CJ70">
            <v>9.6000000000000009E-3</v>
          </cell>
          <cell r="CK70">
            <v>1.18E-2</v>
          </cell>
          <cell r="CL70">
            <v>8.3000000000000001E-3</v>
          </cell>
          <cell r="CM70">
            <v>1.3100000000000001E-2</v>
          </cell>
          <cell r="CN70">
            <v>9.6000000000000009E-3</v>
          </cell>
          <cell r="CO70">
            <v>1.18E-2</v>
          </cell>
          <cell r="CP70">
            <v>8.3000000000000001E-3</v>
          </cell>
          <cell r="CQ70">
            <v>1.0063256512499504E-2</v>
          </cell>
          <cell r="CR70">
            <v>4.9991661384674946E-3</v>
          </cell>
          <cell r="CS70">
            <v>8.6349233300802193E-3</v>
          </cell>
          <cell r="CT70">
            <v>3.46695417914499E-3</v>
          </cell>
          <cell r="CU70">
            <v>1.1069582163749456E-2</v>
          </cell>
          <cell r="CV70">
            <v>5.8918743774795477E-3</v>
          </cell>
          <cell r="CW70">
            <v>8.0506052099996034E-3</v>
          </cell>
          <cell r="CX70">
            <v>4.0447798756691553E-3</v>
          </cell>
          <cell r="CY70">
            <v>6.8819689698383707E-3</v>
          </cell>
          <cell r="CZ70">
            <v>2.7657724350482506E-3</v>
          </cell>
          <cell r="DA70">
            <v>8.0506052099996034E-3</v>
          </cell>
          <cell r="DB70">
            <v>4.0447798756691553E-3</v>
          </cell>
          <cell r="DC70">
            <v>6.8819689698383707E-3</v>
          </cell>
          <cell r="DD70">
            <v>2.7657724350482506E-3</v>
          </cell>
          <cell r="DE70">
            <v>1.0999999999999999E-2</v>
          </cell>
          <cell r="DF70">
            <v>7.4999999999999997E-3</v>
          </cell>
          <cell r="DG70">
            <v>9.7000000000000003E-3</v>
          </cell>
          <cell r="DH70">
            <v>6.1999999999999998E-3</v>
          </cell>
          <cell r="DI70">
            <v>1.83E-2</v>
          </cell>
          <cell r="DJ70">
            <v>1.4800000000000001E-2</v>
          </cell>
          <cell r="DK70">
            <v>1.61E-2</v>
          </cell>
          <cell r="DL70">
            <v>1.26E-2</v>
          </cell>
          <cell r="DM70">
            <v>1.0999999999999999E-2</v>
          </cell>
          <cell r="DN70">
            <v>7.5000000000000006E-3</v>
          </cell>
          <cell r="DO70">
            <v>9.6999999999999986E-3</v>
          </cell>
          <cell r="DP70">
            <v>6.2000000000000006E-3</v>
          </cell>
          <cell r="DQ70">
            <v>1.0999999999999999E-2</v>
          </cell>
          <cell r="DR70">
            <v>7.5000000000000006E-3</v>
          </cell>
          <cell r="DS70">
            <v>9.6999999999999986E-3</v>
          </cell>
          <cell r="DT70">
            <v>6.2000000000000006E-3</v>
          </cell>
          <cell r="DU70">
            <v>8.8000000000000005E-3</v>
          </cell>
          <cell r="DV70">
            <v>5.4000000000000003E-3</v>
          </cell>
          <cell r="DW70">
            <v>7.7999999999999996E-3</v>
          </cell>
          <cell r="DX70">
            <v>4.0000000000000001E-3</v>
          </cell>
          <cell r="DY70">
            <v>9.7000000000000003E-3</v>
          </cell>
          <cell r="DZ70">
            <v>6.0000000000000001E-3</v>
          </cell>
          <cell r="EA70">
            <v>7.3000000000000001E-3</v>
          </cell>
          <cell r="EB70">
            <v>4.4999999999999997E-3</v>
          </cell>
          <cell r="EC70">
            <v>6.4999999999999997E-3</v>
          </cell>
          <cell r="ED70">
            <v>3.3E-3</v>
          </cell>
          <cell r="EE70">
            <v>7.3000000000000001E-3</v>
          </cell>
          <cell r="EF70">
            <v>4.4999999999999997E-3</v>
          </cell>
          <cell r="EG70">
            <v>6.4999999999999997E-3</v>
          </cell>
          <cell r="EH70">
            <v>3.3E-3</v>
          </cell>
          <cell r="EI70">
            <v>1.83E-2</v>
          </cell>
          <cell r="EJ70">
            <v>1.4800000000000001E-2</v>
          </cell>
          <cell r="EK70">
            <v>1.61E-2</v>
          </cell>
          <cell r="EL70">
            <v>1.26E-2</v>
          </cell>
          <cell r="EM70">
            <v>1.0999999999999999E-2</v>
          </cell>
          <cell r="EN70">
            <v>7.5000000000000006E-3</v>
          </cell>
          <cell r="EO70">
            <v>9.6999999999999986E-3</v>
          </cell>
          <cell r="EP70">
            <v>6.2000000000000006E-3</v>
          </cell>
          <cell r="EQ70">
            <v>1.0999999999999999E-2</v>
          </cell>
          <cell r="ER70">
            <v>7.5000000000000006E-3</v>
          </cell>
          <cell r="ES70">
            <v>9.6999999999999986E-3</v>
          </cell>
          <cell r="ET70">
            <v>6.2000000000000006E-3</v>
          </cell>
          <cell r="EU70">
            <v>8.8000000000000005E-3</v>
          </cell>
          <cell r="EV70">
            <v>5.4000000000000003E-3</v>
          </cell>
          <cell r="EW70">
            <v>7.7999999999999996E-3</v>
          </cell>
          <cell r="EX70">
            <v>4.0000000000000001E-3</v>
          </cell>
          <cell r="EY70">
            <v>9.7000000000000003E-3</v>
          </cell>
          <cell r="EZ70">
            <v>6.0000000000000001E-3</v>
          </cell>
          <cell r="FA70">
            <v>7.3000000000000001E-3</v>
          </cell>
          <cell r="FB70">
            <v>4.4999999999999997E-3</v>
          </cell>
          <cell r="FC70">
            <v>6.4999999999999997E-3</v>
          </cell>
          <cell r="FD70">
            <v>3.3E-3</v>
          </cell>
          <cell r="FE70">
            <v>7.3000000000000001E-3</v>
          </cell>
          <cell r="FF70">
            <v>4.4999999999999997E-3</v>
          </cell>
          <cell r="FG70">
            <v>6.4999999999999997E-3</v>
          </cell>
          <cell r="FH70">
            <v>3.3E-3</v>
          </cell>
          <cell r="FI70">
            <v>2.76E-2</v>
          </cell>
          <cell r="FJ70">
            <v>2.4E-2</v>
          </cell>
          <cell r="FK70">
            <v>2.47E-2</v>
          </cell>
          <cell r="FL70">
            <v>2.1100000000000001E-2</v>
          </cell>
          <cell r="FM70">
            <v>2.76E-2</v>
          </cell>
          <cell r="FN70">
            <v>2.4E-2</v>
          </cell>
          <cell r="FO70">
            <v>2.47E-2</v>
          </cell>
          <cell r="FP70">
            <v>2.1100000000000001E-2</v>
          </cell>
          <cell r="FQ70">
            <v>1.11E-2</v>
          </cell>
          <cell r="FR70">
            <v>8.8000000000000005E-3</v>
          </cell>
          <cell r="FS70">
            <v>8.3999999999999995E-3</v>
          </cell>
          <cell r="FT70">
            <v>5.7999999999999996E-3</v>
          </cell>
          <cell r="FU70">
            <v>1.23E-2</v>
          </cell>
          <cell r="FV70">
            <v>9.1000000000000004E-3</v>
          </cell>
          <cell r="FW70">
            <v>9.7000000000000003E-3</v>
          </cell>
          <cell r="FX70">
            <v>7.6E-3</v>
          </cell>
          <cell r="FY70">
            <v>7.3000000000000001E-3</v>
          </cell>
          <cell r="FZ70">
            <v>5.0000000000000001E-3</v>
          </cell>
          <cell r="GA70">
            <v>9.7000000000000003E-3</v>
          </cell>
          <cell r="GB70">
            <v>7.6E-3</v>
          </cell>
          <cell r="GC70">
            <v>7.3000000000000001E-3</v>
          </cell>
          <cell r="GD70">
            <v>5.0000000000000001E-3</v>
          </cell>
          <cell r="GE70">
            <v>2.18E-2</v>
          </cell>
          <cell r="GF70">
            <v>1.9300000000000001E-2</v>
          </cell>
          <cell r="GG70">
            <v>1.9799999999999998E-2</v>
          </cell>
          <cell r="GH70">
            <v>1.6299999999999999E-2</v>
          </cell>
          <cell r="GI70">
            <v>2.18E-2</v>
          </cell>
          <cell r="GJ70">
            <v>1.9300000000000001E-2</v>
          </cell>
          <cell r="GK70">
            <v>1.9799999999999998E-2</v>
          </cell>
          <cell r="GL70">
            <v>1.6299999999999999E-2</v>
          </cell>
          <cell r="GM70">
            <v>1.11E-2</v>
          </cell>
          <cell r="GN70">
            <v>8.3999999999999995E-3</v>
          </cell>
          <cell r="GO70">
            <v>8.3999999999999995E-3</v>
          </cell>
          <cell r="GP70">
            <v>5.5999999999999999E-3</v>
          </cell>
          <cell r="GQ70">
            <v>1.23E-2</v>
          </cell>
          <cell r="GR70">
            <v>8.8000000000000005E-3</v>
          </cell>
          <cell r="GS70">
            <v>9.7000000000000003E-3</v>
          </cell>
          <cell r="GT70">
            <v>7.3000000000000001E-3</v>
          </cell>
          <cell r="GU70">
            <v>7.3000000000000001E-3</v>
          </cell>
          <cell r="GV70">
            <v>4.7999999999999996E-3</v>
          </cell>
          <cell r="GW70">
            <v>9.7000000000000003E-3</v>
          </cell>
          <cell r="GX70">
            <v>7.3000000000000001E-3</v>
          </cell>
          <cell r="GY70">
            <v>7.3000000000000001E-3</v>
          </cell>
          <cell r="GZ70">
            <v>4.7999999999999996E-3</v>
          </cell>
          <cell r="HA70">
            <v>2.18E-2</v>
          </cell>
          <cell r="HB70">
            <v>1.9300000000000001E-2</v>
          </cell>
          <cell r="HC70">
            <v>1.9799999999999998E-2</v>
          </cell>
          <cell r="HD70">
            <v>1.6299999999999999E-2</v>
          </cell>
          <cell r="HE70">
            <v>2.18E-2</v>
          </cell>
          <cell r="HF70">
            <v>1.9300000000000001E-2</v>
          </cell>
          <cell r="HG70">
            <v>1.9799999999999998E-2</v>
          </cell>
          <cell r="HH70">
            <v>1.6299999999999999E-2</v>
          </cell>
          <cell r="HI70">
            <v>1.11E-2</v>
          </cell>
          <cell r="HJ70">
            <v>8.2000000000000007E-3</v>
          </cell>
          <cell r="HK70">
            <v>8.3999999999999995E-3</v>
          </cell>
          <cell r="HL70">
            <v>5.4000000000000003E-3</v>
          </cell>
          <cell r="HM70">
            <v>1.23E-2</v>
          </cell>
          <cell r="HN70">
            <v>8.6E-3</v>
          </cell>
          <cell r="HO70">
            <v>9.7000000000000003E-3</v>
          </cell>
          <cell r="HP70">
            <v>7.1000000000000004E-3</v>
          </cell>
          <cell r="HQ70">
            <v>7.3000000000000001E-3</v>
          </cell>
          <cell r="HR70">
            <v>4.7000000000000002E-3</v>
          </cell>
          <cell r="HS70">
            <v>9.7000000000000003E-3</v>
          </cell>
          <cell r="HT70">
            <v>7.1000000000000004E-3</v>
          </cell>
          <cell r="HU70">
            <v>7.3000000000000001E-3</v>
          </cell>
          <cell r="HV70">
            <v>4.7000000000000002E-3</v>
          </cell>
          <cell r="HW70" t="str">
            <v>%PPL</v>
          </cell>
        </row>
        <row r="71">
          <cell r="AV71" t="str">
            <v>7x50 4-Port 100GE IMM (L3BQ/L2HQ/L3HQ)</v>
          </cell>
          <cell r="AW71">
            <v>0.8</v>
          </cell>
          <cell r="AX71">
            <v>0.7</v>
          </cell>
          <cell r="AY71">
            <v>0.75</v>
          </cell>
          <cell r="AZ71">
            <v>0.75</v>
          </cell>
          <cell r="BA71">
            <v>0.71299999999999997</v>
          </cell>
          <cell r="BB71">
            <v>0.75</v>
          </cell>
          <cell r="BC71">
            <v>0.75</v>
          </cell>
          <cell r="BD71">
            <v>0.71299999999999997</v>
          </cell>
          <cell r="BE71">
            <v>0.75</v>
          </cell>
          <cell r="BF71">
            <v>0.75</v>
          </cell>
          <cell r="BG71">
            <v>0.75</v>
          </cell>
          <cell r="BH71">
            <v>0.75</v>
          </cell>
          <cell r="BI71">
            <v>0.84</v>
          </cell>
          <cell r="BJ71">
            <v>0.6</v>
          </cell>
          <cell r="BK71">
            <v>2.5000000000000001E-2</v>
          </cell>
          <cell r="BL71" t="str">
            <v>%PMP</v>
          </cell>
          <cell r="BM71">
            <v>1.4E-2</v>
          </cell>
          <cell r="BN71">
            <v>1.0500000000000001E-2</v>
          </cell>
          <cell r="BO71">
            <v>1.06E-2</v>
          </cell>
          <cell r="BP71">
            <v>7.1000000000000004E-3</v>
          </cell>
          <cell r="BQ71">
            <v>1.4E-2</v>
          </cell>
          <cell r="BR71">
            <v>1.0500000000000001E-2</v>
          </cell>
          <cell r="BS71">
            <v>1.06E-2</v>
          </cell>
          <cell r="BT71">
            <v>7.1000000000000004E-3</v>
          </cell>
          <cell r="BU71">
            <v>1.1200000000000002E-2</v>
          </cell>
          <cell r="BV71">
            <v>5.8800000000000007E-3</v>
          </cell>
          <cell r="BW71">
            <v>8.4799999999999997E-3</v>
          </cell>
          <cell r="BX71">
            <v>3.4080000000000004E-3</v>
          </cell>
          <cell r="BY71">
            <v>1.2320000000000003E-2</v>
          </cell>
          <cell r="BZ71">
            <v>6.9300000000000013E-3</v>
          </cell>
          <cell r="CA71">
            <v>8.9600000000000009E-3</v>
          </cell>
          <cell r="CB71">
            <v>4.7039999999999998E-3</v>
          </cell>
          <cell r="CC71">
            <v>6.7840000000000001E-3</v>
          </cell>
          <cell r="CD71">
            <v>2.7263999999999999E-3</v>
          </cell>
          <cell r="CE71">
            <v>8.9600000000000009E-3</v>
          </cell>
          <cell r="CF71">
            <v>4.7039999999999998E-3</v>
          </cell>
          <cell r="CG71">
            <v>6.7840000000000001E-3</v>
          </cell>
          <cell r="CH71">
            <v>2.7263999999999999E-3</v>
          </cell>
          <cell r="CI71">
            <v>1.3100000000000001E-2</v>
          </cell>
          <cell r="CJ71">
            <v>9.6000000000000009E-3</v>
          </cell>
          <cell r="CK71">
            <v>1.18E-2</v>
          </cell>
          <cell r="CL71">
            <v>8.3000000000000001E-3</v>
          </cell>
          <cell r="CM71">
            <v>1.3100000000000001E-2</v>
          </cell>
          <cell r="CN71">
            <v>9.6000000000000009E-3</v>
          </cell>
          <cell r="CO71">
            <v>1.18E-2</v>
          </cell>
          <cell r="CP71">
            <v>8.3000000000000001E-3</v>
          </cell>
          <cell r="CQ71">
            <v>1.0063256512499504E-2</v>
          </cell>
          <cell r="CR71">
            <v>4.9991661384674946E-3</v>
          </cell>
          <cell r="CS71">
            <v>8.6349233300802193E-3</v>
          </cell>
          <cell r="CT71">
            <v>3.46695417914499E-3</v>
          </cell>
          <cell r="CU71">
            <v>1.1069582163749456E-2</v>
          </cell>
          <cell r="CV71">
            <v>5.8918743774795477E-3</v>
          </cell>
          <cell r="CW71">
            <v>8.0506052099996034E-3</v>
          </cell>
          <cell r="CX71">
            <v>4.0447798756691553E-3</v>
          </cell>
          <cell r="CY71">
            <v>6.8819689698383707E-3</v>
          </cell>
          <cell r="CZ71">
            <v>2.7657724350482506E-3</v>
          </cell>
          <cell r="DA71">
            <v>8.0506052099996034E-3</v>
          </cell>
          <cell r="DB71">
            <v>4.0447798756691553E-3</v>
          </cell>
          <cell r="DC71">
            <v>6.8819689698383707E-3</v>
          </cell>
          <cell r="DD71">
            <v>2.7657724350482506E-3</v>
          </cell>
          <cell r="DE71">
            <v>1.0999999999999999E-2</v>
          </cell>
          <cell r="DF71">
            <v>7.4999999999999997E-3</v>
          </cell>
          <cell r="DG71">
            <v>9.7000000000000003E-3</v>
          </cell>
          <cell r="DH71">
            <v>6.1999999999999998E-3</v>
          </cell>
          <cell r="DI71">
            <v>1.83E-2</v>
          </cell>
          <cell r="DJ71">
            <v>1.4800000000000001E-2</v>
          </cell>
          <cell r="DK71">
            <v>1.61E-2</v>
          </cell>
          <cell r="DL71">
            <v>1.26E-2</v>
          </cell>
          <cell r="DM71">
            <v>1.0999999999999999E-2</v>
          </cell>
          <cell r="DN71">
            <v>7.5000000000000006E-3</v>
          </cell>
          <cell r="DO71">
            <v>9.6999999999999986E-3</v>
          </cell>
          <cell r="DP71">
            <v>6.2000000000000006E-3</v>
          </cell>
          <cell r="DQ71">
            <v>1.0999999999999999E-2</v>
          </cell>
          <cell r="DR71">
            <v>7.5000000000000006E-3</v>
          </cell>
          <cell r="DS71">
            <v>9.6999999999999986E-3</v>
          </cell>
          <cell r="DT71">
            <v>6.2000000000000006E-3</v>
          </cell>
          <cell r="DU71">
            <v>8.8000000000000005E-3</v>
          </cell>
          <cell r="DV71">
            <v>5.4000000000000003E-3</v>
          </cell>
          <cell r="DW71">
            <v>7.7999999999999996E-3</v>
          </cell>
          <cell r="DX71">
            <v>4.0000000000000001E-3</v>
          </cell>
          <cell r="DY71">
            <v>9.7000000000000003E-3</v>
          </cell>
          <cell r="DZ71">
            <v>6.0000000000000001E-3</v>
          </cell>
          <cell r="EA71">
            <v>7.3000000000000001E-3</v>
          </cell>
          <cell r="EB71">
            <v>4.4999999999999997E-3</v>
          </cell>
          <cell r="EC71">
            <v>6.4999999999999997E-3</v>
          </cell>
          <cell r="ED71">
            <v>3.3E-3</v>
          </cell>
          <cell r="EE71">
            <v>7.3000000000000001E-3</v>
          </cell>
          <cell r="EF71">
            <v>4.4999999999999997E-3</v>
          </cell>
          <cell r="EG71">
            <v>6.4999999999999997E-3</v>
          </cell>
          <cell r="EH71">
            <v>3.3E-3</v>
          </cell>
          <cell r="EI71">
            <v>1.83E-2</v>
          </cell>
          <cell r="EJ71">
            <v>1.4800000000000001E-2</v>
          </cell>
          <cell r="EK71">
            <v>1.61E-2</v>
          </cell>
          <cell r="EL71">
            <v>1.26E-2</v>
          </cell>
          <cell r="EM71">
            <v>1.0999999999999999E-2</v>
          </cell>
          <cell r="EN71">
            <v>7.5000000000000006E-3</v>
          </cell>
          <cell r="EO71">
            <v>9.6999999999999986E-3</v>
          </cell>
          <cell r="EP71">
            <v>6.2000000000000006E-3</v>
          </cell>
          <cell r="EQ71">
            <v>1.0999999999999999E-2</v>
          </cell>
          <cell r="ER71">
            <v>7.5000000000000006E-3</v>
          </cell>
          <cell r="ES71">
            <v>9.6999999999999986E-3</v>
          </cell>
          <cell r="ET71">
            <v>6.2000000000000006E-3</v>
          </cell>
          <cell r="EU71">
            <v>8.8000000000000005E-3</v>
          </cell>
          <cell r="EV71">
            <v>5.4000000000000003E-3</v>
          </cell>
          <cell r="EW71">
            <v>7.7999999999999996E-3</v>
          </cell>
          <cell r="EX71">
            <v>4.0000000000000001E-3</v>
          </cell>
          <cell r="EY71">
            <v>9.7000000000000003E-3</v>
          </cell>
          <cell r="EZ71">
            <v>6.0000000000000001E-3</v>
          </cell>
          <cell r="FA71">
            <v>7.3000000000000001E-3</v>
          </cell>
          <cell r="FB71">
            <v>4.4999999999999997E-3</v>
          </cell>
          <cell r="FC71">
            <v>6.4999999999999997E-3</v>
          </cell>
          <cell r="FD71">
            <v>3.3E-3</v>
          </cell>
          <cell r="FE71">
            <v>7.3000000000000001E-3</v>
          </cell>
          <cell r="FF71">
            <v>4.4999999999999997E-3</v>
          </cell>
          <cell r="FG71">
            <v>6.4999999999999997E-3</v>
          </cell>
          <cell r="FH71">
            <v>3.3E-3</v>
          </cell>
          <cell r="FI71">
            <v>2.76E-2</v>
          </cell>
          <cell r="FJ71">
            <v>2.4E-2</v>
          </cell>
          <cell r="FK71">
            <v>2.47E-2</v>
          </cell>
          <cell r="FL71">
            <v>2.1100000000000001E-2</v>
          </cell>
          <cell r="FM71">
            <v>2.76E-2</v>
          </cell>
          <cell r="FN71">
            <v>2.4E-2</v>
          </cell>
          <cell r="FO71">
            <v>2.47E-2</v>
          </cell>
          <cell r="FP71">
            <v>2.1100000000000001E-2</v>
          </cell>
          <cell r="FQ71">
            <v>1.11E-2</v>
          </cell>
          <cell r="FR71">
            <v>8.8000000000000005E-3</v>
          </cell>
          <cell r="FS71">
            <v>8.3999999999999995E-3</v>
          </cell>
          <cell r="FT71">
            <v>5.7999999999999996E-3</v>
          </cell>
          <cell r="FU71">
            <v>1.23E-2</v>
          </cell>
          <cell r="FV71">
            <v>9.1000000000000004E-3</v>
          </cell>
          <cell r="FW71">
            <v>9.7000000000000003E-3</v>
          </cell>
          <cell r="FX71">
            <v>7.6E-3</v>
          </cell>
          <cell r="FY71">
            <v>7.3000000000000001E-3</v>
          </cell>
          <cell r="FZ71">
            <v>5.0000000000000001E-3</v>
          </cell>
          <cell r="GA71">
            <v>9.7000000000000003E-3</v>
          </cell>
          <cell r="GB71">
            <v>7.6E-3</v>
          </cell>
          <cell r="GC71">
            <v>7.3000000000000001E-3</v>
          </cell>
          <cell r="GD71">
            <v>5.0000000000000001E-3</v>
          </cell>
          <cell r="GE71">
            <v>2.18E-2</v>
          </cell>
          <cell r="GF71">
            <v>1.9300000000000001E-2</v>
          </cell>
          <cell r="GG71">
            <v>1.9799999999999998E-2</v>
          </cell>
          <cell r="GH71">
            <v>1.6299999999999999E-2</v>
          </cell>
          <cell r="GI71">
            <v>2.18E-2</v>
          </cell>
          <cell r="GJ71">
            <v>1.9300000000000001E-2</v>
          </cell>
          <cell r="GK71">
            <v>1.9799999999999998E-2</v>
          </cell>
          <cell r="GL71">
            <v>1.6299999999999999E-2</v>
          </cell>
          <cell r="GM71">
            <v>1.11E-2</v>
          </cell>
          <cell r="GN71">
            <v>8.3999999999999995E-3</v>
          </cell>
          <cell r="GO71">
            <v>8.3999999999999995E-3</v>
          </cell>
          <cell r="GP71">
            <v>5.5999999999999999E-3</v>
          </cell>
          <cell r="GQ71">
            <v>1.23E-2</v>
          </cell>
          <cell r="GR71">
            <v>8.8000000000000005E-3</v>
          </cell>
          <cell r="GS71">
            <v>9.7000000000000003E-3</v>
          </cell>
          <cell r="GT71">
            <v>7.3000000000000001E-3</v>
          </cell>
          <cell r="GU71">
            <v>7.3000000000000001E-3</v>
          </cell>
          <cell r="GV71">
            <v>4.7999999999999996E-3</v>
          </cell>
          <cell r="GW71">
            <v>9.7000000000000003E-3</v>
          </cell>
          <cell r="GX71">
            <v>7.3000000000000001E-3</v>
          </cell>
          <cell r="GY71">
            <v>7.3000000000000001E-3</v>
          </cell>
          <cell r="GZ71">
            <v>4.7999999999999996E-3</v>
          </cell>
          <cell r="HA71">
            <v>2.18E-2</v>
          </cell>
          <cell r="HB71">
            <v>1.9300000000000001E-2</v>
          </cell>
          <cell r="HC71">
            <v>1.9799999999999998E-2</v>
          </cell>
          <cell r="HD71">
            <v>1.6299999999999999E-2</v>
          </cell>
          <cell r="HE71">
            <v>2.18E-2</v>
          </cell>
          <cell r="HF71">
            <v>1.9300000000000001E-2</v>
          </cell>
          <cell r="HG71">
            <v>1.9799999999999998E-2</v>
          </cell>
          <cell r="HH71">
            <v>1.6299999999999999E-2</v>
          </cell>
          <cell r="HI71">
            <v>1.11E-2</v>
          </cell>
          <cell r="HJ71">
            <v>8.2000000000000007E-3</v>
          </cell>
          <cell r="HK71">
            <v>8.3999999999999995E-3</v>
          </cell>
          <cell r="HL71">
            <v>5.4000000000000003E-3</v>
          </cell>
          <cell r="HM71">
            <v>1.23E-2</v>
          </cell>
          <cell r="HN71">
            <v>8.6E-3</v>
          </cell>
          <cell r="HO71">
            <v>9.7000000000000003E-3</v>
          </cell>
          <cell r="HP71">
            <v>7.1000000000000004E-3</v>
          </cell>
          <cell r="HQ71">
            <v>7.3000000000000001E-3</v>
          </cell>
          <cell r="HR71">
            <v>4.7000000000000002E-3</v>
          </cell>
          <cell r="HS71">
            <v>9.7000000000000003E-3</v>
          </cell>
          <cell r="HT71">
            <v>7.1000000000000004E-3</v>
          </cell>
          <cell r="HU71">
            <v>7.3000000000000001E-3</v>
          </cell>
          <cell r="HV71">
            <v>4.7000000000000002E-3</v>
          </cell>
          <cell r="HW71" t="str">
            <v>%PPL</v>
          </cell>
        </row>
        <row r="72">
          <cell r="AV72" t="str">
            <v>7X50 RTU License /Upgrade</v>
          </cell>
          <cell r="AW72">
            <v>0.8</v>
          </cell>
          <cell r="AX72">
            <v>0.7</v>
          </cell>
          <cell r="AY72">
            <v>0.75</v>
          </cell>
          <cell r="AZ72">
            <v>0.75</v>
          </cell>
          <cell r="BA72">
            <v>0.71299999999999997</v>
          </cell>
          <cell r="BB72">
            <v>0.75</v>
          </cell>
          <cell r="BC72">
            <v>0.75</v>
          </cell>
          <cell r="BD72">
            <v>0.71299999999999997</v>
          </cell>
          <cell r="BE72">
            <v>0.75</v>
          </cell>
          <cell r="BF72">
            <v>0.75</v>
          </cell>
          <cell r="BG72">
            <v>0.7</v>
          </cell>
          <cell r="BH72">
            <v>0.75</v>
          </cell>
          <cell r="BI72">
            <v>0.77</v>
          </cell>
          <cell r="BJ72">
            <v>0.6</v>
          </cell>
          <cell r="BK72">
            <v>2.5000000000000001E-2</v>
          </cell>
          <cell r="BL72" t="str">
            <v>%PMP</v>
          </cell>
          <cell r="BM72">
            <v>1.4E-2</v>
          </cell>
          <cell r="BN72">
            <v>1.0500000000000001E-2</v>
          </cell>
          <cell r="BO72">
            <v>1.06E-2</v>
          </cell>
          <cell r="BP72">
            <v>7.1000000000000004E-3</v>
          </cell>
          <cell r="BQ72">
            <v>1.4E-2</v>
          </cell>
          <cell r="BR72">
            <v>1.0500000000000001E-2</v>
          </cell>
          <cell r="BS72">
            <v>1.06E-2</v>
          </cell>
          <cell r="BT72">
            <v>7.1000000000000004E-3</v>
          </cell>
          <cell r="BU72">
            <v>1.1200000000000002E-2</v>
          </cell>
          <cell r="BV72">
            <v>5.8800000000000007E-3</v>
          </cell>
          <cell r="BW72">
            <v>8.4799999999999997E-3</v>
          </cell>
          <cell r="BX72">
            <v>3.4080000000000004E-3</v>
          </cell>
          <cell r="BY72">
            <v>1.2320000000000003E-2</v>
          </cell>
          <cell r="BZ72">
            <v>6.9300000000000013E-3</v>
          </cell>
          <cell r="CA72">
            <v>8.9600000000000009E-3</v>
          </cell>
          <cell r="CB72">
            <v>4.7039999999999998E-3</v>
          </cell>
          <cell r="CC72">
            <v>6.7840000000000001E-3</v>
          </cell>
          <cell r="CD72">
            <v>2.7263999999999999E-3</v>
          </cell>
          <cell r="CE72">
            <v>8.9600000000000009E-3</v>
          </cell>
          <cell r="CF72">
            <v>4.7039999999999998E-3</v>
          </cell>
          <cell r="CG72">
            <v>6.7840000000000001E-3</v>
          </cell>
          <cell r="CH72">
            <v>2.7263999999999999E-3</v>
          </cell>
          <cell r="CI72">
            <v>1.3100000000000001E-2</v>
          </cell>
          <cell r="CJ72">
            <v>9.6000000000000009E-3</v>
          </cell>
          <cell r="CK72">
            <v>1.18E-2</v>
          </cell>
          <cell r="CL72">
            <v>8.3000000000000001E-3</v>
          </cell>
          <cell r="CM72">
            <v>1.3100000000000001E-2</v>
          </cell>
          <cell r="CN72">
            <v>9.6000000000000009E-3</v>
          </cell>
          <cell r="CO72">
            <v>1.18E-2</v>
          </cell>
          <cell r="CP72">
            <v>8.3000000000000001E-3</v>
          </cell>
          <cell r="CQ72">
            <v>1.0063256512499504E-2</v>
          </cell>
          <cell r="CR72">
            <v>4.9991661384674946E-3</v>
          </cell>
          <cell r="CS72">
            <v>8.6349233300802193E-3</v>
          </cell>
          <cell r="CT72">
            <v>3.46695417914499E-3</v>
          </cell>
          <cell r="CU72">
            <v>1.1069582163749456E-2</v>
          </cell>
          <cell r="CV72">
            <v>5.8918743774795477E-3</v>
          </cell>
          <cell r="CW72">
            <v>8.0506052099996034E-3</v>
          </cell>
          <cell r="CX72">
            <v>4.0447798756691553E-3</v>
          </cell>
          <cell r="CY72">
            <v>6.8819689698383707E-3</v>
          </cell>
          <cell r="CZ72">
            <v>2.7657724350482506E-3</v>
          </cell>
          <cell r="DA72">
            <v>8.0506052099996034E-3</v>
          </cell>
          <cell r="DB72">
            <v>4.0447798756691553E-3</v>
          </cell>
          <cell r="DC72">
            <v>6.8819689698383707E-3</v>
          </cell>
          <cell r="DD72">
            <v>2.7657724350482506E-3</v>
          </cell>
          <cell r="DE72">
            <v>1.0999999999999999E-2</v>
          </cell>
          <cell r="DF72">
            <v>7.4999999999999997E-3</v>
          </cell>
          <cell r="DG72">
            <v>9.7000000000000003E-3</v>
          </cell>
          <cell r="DH72">
            <v>6.1999999999999998E-3</v>
          </cell>
          <cell r="DI72">
            <v>1.83E-2</v>
          </cell>
          <cell r="DJ72">
            <v>1.4800000000000001E-2</v>
          </cell>
          <cell r="DK72">
            <v>1.61E-2</v>
          </cell>
          <cell r="DL72">
            <v>1.26E-2</v>
          </cell>
          <cell r="DM72">
            <v>1.0999999999999999E-2</v>
          </cell>
          <cell r="DN72">
            <v>7.5000000000000006E-3</v>
          </cell>
          <cell r="DO72">
            <v>9.6999999999999986E-3</v>
          </cell>
          <cell r="DP72">
            <v>6.2000000000000006E-3</v>
          </cell>
          <cell r="DQ72">
            <v>1.0999999999999999E-2</v>
          </cell>
          <cell r="DR72">
            <v>7.5000000000000006E-3</v>
          </cell>
          <cell r="DS72">
            <v>9.6999999999999986E-3</v>
          </cell>
          <cell r="DT72">
            <v>6.2000000000000006E-3</v>
          </cell>
          <cell r="DU72">
            <v>8.8000000000000005E-3</v>
          </cell>
          <cell r="DV72">
            <v>5.4000000000000003E-3</v>
          </cell>
          <cell r="DW72">
            <v>7.7999999999999996E-3</v>
          </cell>
          <cell r="DX72">
            <v>4.0000000000000001E-3</v>
          </cell>
          <cell r="DY72">
            <v>9.7000000000000003E-3</v>
          </cell>
          <cell r="DZ72">
            <v>6.0000000000000001E-3</v>
          </cell>
          <cell r="EA72">
            <v>7.3000000000000001E-3</v>
          </cell>
          <cell r="EB72">
            <v>4.4999999999999997E-3</v>
          </cell>
          <cell r="EC72">
            <v>6.4999999999999997E-3</v>
          </cell>
          <cell r="ED72">
            <v>3.3E-3</v>
          </cell>
          <cell r="EE72">
            <v>7.3000000000000001E-3</v>
          </cell>
          <cell r="EF72">
            <v>4.4999999999999997E-3</v>
          </cell>
          <cell r="EG72">
            <v>6.4999999999999997E-3</v>
          </cell>
          <cell r="EH72">
            <v>3.3E-3</v>
          </cell>
          <cell r="EI72">
            <v>1.83E-2</v>
          </cell>
          <cell r="EJ72">
            <v>1.4800000000000001E-2</v>
          </cell>
          <cell r="EK72">
            <v>1.61E-2</v>
          </cell>
          <cell r="EL72">
            <v>1.26E-2</v>
          </cell>
          <cell r="EM72">
            <v>1.0999999999999999E-2</v>
          </cell>
          <cell r="EN72">
            <v>7.5000000000000006E-3</v>
          </cell>
          <cell r="EO72">
            <v>9.6999999999999986E-3</v>
          </cell>
          <cell r="EP72">
            <v>6.2000000000000006E-3</v>
          </cell>
          <cell r="EQ72">
            <v>1.0999999999999999E-2</v>
          </cell>
          <cell r="ER72">
            <v>7.5000000000000006E-3</v>
          </cell>
          <cell r="ES72">
            <v>9.6999999999999986E-3</v>
          </cell>
          <cell r="ET72">
            <v>6.2000000000000006E-3</v>
          </cell>
          <cell r="EU72">
            <v>8.8000000000000005E-3</v>
          </cell>
          <cell r="EV72">
            <v>5.4000000000000003E-3</v>
          </cell>
          <cell r="EW72">
            <v>7.7999999999999996E-3</v>
          </cell>
          <cell r="EX72">
            <v>4.0000000000000001E-3</v>
          </cell>
          <cell r="EY72">
            <v>9.7000000000000003E-3</v>
          </cell>
          <cell r="EZ72">
            <v>6.0000000000000001E-3</v>
          </cell>
          <cell r="FA72">
            <v>7.3000000000000001E-3</v>
          </cell>
          <cell r="FB72">
            <v>4.4999999999999997E-3</v>
          </cell>
          <cell r="FC72">
            <v>6.4999999999999997E-3</v>
          </cell>
          <cell r="FD72">
            <v>3.3E-3</v>
          </cell>
          <cell r="FE72">
            <v>7.3000000000000001E-3</v>
          </cell>
          <cell r="FF72">
            <v>4.4999999999999997E-3</v>
          </cell>
          <cell r="FG72">
            <v>6.4999999999999997E-3</v>
          </cell>
          <cell r="FH72">
            <v>3.3E-3</v>
          </cell>
          <cell r="FI72">
            <v>2.76E-2</v>
          </cell>
          <cell r="FJ72">
            <v>2.4E-2</v>
          </cell>
          <cell r="FK72">
            <v>2.47E-2</v>
          </cell>
          <cell r="FL72">
            <v>2.1100000000000001E-2</v>
          </cell>
          <cell r="FM72">
            <v>2.76E-2</v>
          </cell>
          <cell r="FN72">
            <v>2.4E-2</v>
          </cell>
          <cell r="FO72">
            <v>2.47E-2</v>
          </cell>
          <cell r="FP72">
            <v>2.1100000000000001E-2</v>
          </cell>
          <cell r="FQ72">
            <v>1.11E-2</v>
          </cell>
          <cell r="FR72">
            <v>8.8000000000000005E-3</v>
          </cell>
          <cell r="FS72">
            <v>8.3999999999999995E-3</v>
          </cell>
          <cell r="FT72">
            <v>5.7999999999999996E-3</v>
          </cell>
          <cell r="FU72">
            <v>1.23E-2</v>
          </cell>
          <cell r="FV72">
            <v>9.1000000000000004E-3</v>
          </cell>
          <cell r="FW72">
            <v>9.7000000000000003E-3</v>
          </cell>
          <cell r="FX72">
            <v>7.6E-3</v>
          </cell>
          <cell r="FY72">
            <v>7.3000000000000001E-3</v>
          </cell>
          <cell r="FZ72">
            <v>5.0000000000000001E-3</v>
          </cell>
          <cell r="GA72">
            <v>9.7000000000000003E-3</v>
          </cell>
          <cell r="GB72">
            <v>7.6E-3</v>
          </cell>
          <cell r="GC72">
            <v>7.3000000000000001E-3</v>
          </cell>
          <cell r="GD72">
            <v>5.0000000000000001E-3</v>
          </cell>
          <cell r="GE72">
            <v>2.18E-2</v>
          </cell>
          <cell r="GF72">
            <v>1.9300000000000001E-2</v>
          </cell>
          <cell r="GG72">
            <v>1.9799999999999998E-2</v>
          </cell>
          <cell r="GH72">
            <v>1.6299999999999999E-2</v>
          </cell>
          <cell r="GI72">
            <v>2.18E-2</v>
          </cell>
          <cell r="GJ72">
            <v>1.9300000000000001E-2</v>
          </cell>
          <cell r="GK72">
            <v>1.9799999999999998E-2</v>
          </cell>
          <cell r="GL72">
            <v>1.6299999999999999E-2</v>
          </cell>
          <cell r="GM72">
            <v>1.11E-2</v>
          </cell>
          <cell r="GN72">
            <v>8.3999999999999995E-3</v>
          </cell>
          <cell r="GO72">
            <v>8.3999999999999995E-3</v>
          </cell>
          <cell r="GP72">
            <v>5.5999999999999999E-3</v>
          </cell>
          <cell r="GQ72">
            <v>1.23E-2</v>
          </cell>
          <cell r="GR72">
            <v>8.8000000000000005E-3</v>
          </cell>
          <cell r="GS72">
            <v>9.7000000000000003E-3</v>
          </cell>
          <cell r="GT72">
            <v>7.3000000000000001E-3</v>
          </cell>
          <cell r="GU72">
            <v>7.3000000000000001E-3</v>
          </cell>
          <cell r="GV72">
            <v>4.7999999999999996E-3</v>
          </cell>
          <cell r="GW72">
            <v>9.7000000000000003E-3</v>
          </cell>
          <cell r="GX72">
            <v>7.3000000000000001E-3</v>
          </cell>
          <cell r="GY72">
            <v>7.3000000000000001E-3</v>
          </cell>
          <cell r="GZ72">
            <v>4.7999999999999996E-3</v>
          </cell>
          <cell r="HA72">
            <v>2.18E-2</v>
          </cell>
          <cell r="HB72">
            <v>1.9300000000000001E-2</v>
          </cell>
          <cell r="HC72">
            <v>1.9799999999999998E-2</v>
          </cell>
          <cell r="HD72">
            <v>1.6299999999999999E-2</v>
          </cell>
          <cell r="HE72">
            <v>2.18E-2</v>
          </cell>
          <cell r="HF72">
            <v>1.9300000000000001E-2</v>
          </cell>
          <cell r="HG72">
            <v>1.9799999999999998E-2</v>
          </cell>
          <cell r="HH72">
            <v>1.6299999999999999E-2</v>
          </cell>
          <cell r="HI72">
            <v>1.11E-2</v>
          </cell>
          <cell r="HJ72">
            <v>8.2000000000000007E-3</v>
          </cell>
          <cell r="HK72">
            <v>8.3999999999999995E-3</v>
          </cell>
          <cell r="HL72">
            <v>5.4000000000000003E-3</v>
          </cell>
          <cell r="HM72">
            <v>1.23E-2</v>
          </cell>
          <cell r="HN72">
            <v>8.6E-3</v>
          </cell>
          <cell r="HO72">
            <v>9.7000000000000003E-3</v>
          </cell>
          <cell r="HP72">
            <v>7.1000000000000004E-3</v>
          </cell>
          <cell r="HQ72">
            <v>7.3000000000000001E-3</v>
          </cell>
          <cell r="HR72">
            <v>4.7000000000000002E-3</v>
          </cell>
          <cell r="HS72">
            <v>9.7000000000000003E-3</v>
          </cell>
          <cell r="HT72">
            <v>7.1000000000000004E-3</v>
          </cell>
          <cell r="HU72">
            <v>7.3000000000000001E-3</v>
          </cell>
          <cell r="HV72">
            <v>4.7000000000000002E-3</v>
          </cell>
          <cell r="HW72" t="str">
            <v>%PPL</v>
          </cell>
        </row>
        <row r="73">
          <cell r="AV73" t="str">
            <v>7x50 SR-OS</v>
          </cell>
          <cell r="AW73">
            <v>0.8</v>
          </cell>
          <cell r="AX73">
            <v>0.7</v>
          </cell>
          <cell r="AY73">
            <v>0.75</v>
          </cell>
          <cell r="AZ73">
            <v>0.75</v>
          </cell>
          <cell r="BA73">
            <v>0.71299999999999997</v>
          </cell>
          <cell r="BB73">
            <v>0.75</v>
          </cell>
          <cell r="BC73">
            <v>0.75</v>
          </cell>
          <cell r="BD73">
            <v>0.71299999999999997</v>
          </cell>
          <cell r="BE73">
            <v>0.75</v>
          </cell>
          <cell r="BF73">
            <v>0.75</v>
          </cell>
          <cell r="BG73">
            <v>0.7</v>
          </cell>
          <cell r="BH73">
            <v>0.75</v>
          </cell>
          <cell r="BI73">
            <v>0.77</v>
          </cell>
          <cell r="BJ73">
            <v>0.6</v>
          </cell>
          <cell r="BK73">
            <v>2.5000000000000001E-2</v>
          </cell>
          <cell r="BL73" t="str">
            <v>%PMP</v>
          </cell>
          <cell r="BM73">
            <v>1.4E-2</v>
          </cell>
          <cell r="BN73">
            <v>1.0500000000000001E-2</v>
          </cell>
          <cell r="BO73">
            <v>1.06E-2</v>
          </cell>
          <cell r="BP73">
            <v>7.1000000000000004E-3</v>
          </cell>
          <cell r="BQ73">
            <v>1.4E-2</v>
          </cell>
          <cell r="BR73">
            <v>1.0500000000000001E-2</v>
          </cell>
          <cell r="BS73">
            <v>1.06E-2</v>
          </cell>
          <cell r="BT73">
            <v>7.1000000000000004E-3</v>
          </cell>
          <cell r="BU73">
            <v>1.1200000000000002E-2</v>
          </cell>
          <cell r="BV73">
            <v>5.8800000000000007E-3</v>
          </cell>
          <cell r="BW73">
            <v>8.4799999999999997E-3</v>
          </cell>
          <cell r="BX73">
            <v>3.4080000000000004E-3</v>
          </cell>
          <cell r="BY73">
            <v>1.2320000000000003E-2</v>
          </cell>
          <cell r="BZ73">
            <v>6.9300000000000013E-3</v>
          </cell>
          <cell r="CA73">
            <v>8.9600000000000009E-3</v>
          </cell>
          <cell r="CB73">
            <v>4.7039999999999998E-3</v>
          </cell>
          <cell r="CC73">
            <v>6.7840000000000001E-3</v>
          </cell>
          <cell r="CD73">
            <v>2.7263999999999999E-3</v>
          </cell>
          <cell r="CE73">
            <v>8.9600000000000009E-3</v>
          </cell>
          <cell r="CF73">
            <v>4.7039999999999998E-3</v>
          </cell>
          <cell r="CG73">
            <v>6.7840000000000001E-3</v>
          </cell>
          <cell r="CH73">
            <v>2.7263999999999999E-3</v>
          </cell>
          <cell r="CI73">
            <v>1.3100000000000001E-2</v>
          </cell>
          <cell r="CJ73">
            <v>9.6000000000000009E-3</v>
          </cell>
          <cell r="CK73">
            <v>1.18E-2</v>
          </cell>
          <cell r="CL73">
            <v>8.3000000000000001E-3</v>
          </cell>
          <cell r="CM73">
            <v>1.3100000000000001E-2</v>
          </cell>
          <cell r="CN73">
            <v>9.6000000000000009E-3</v>
          </cell>
          <cell r="CO73">
            <v>1.18E-2</v>
          </cell>
          <cell r="CP73">
            <v>8.3000000000000001E-3</v>
          </cell>
          <cell r="CQ73">
            <v>1.0063256512499504E-2</v>
          </cell>
          <cell r="CR73">
            <v>4.9991661384674946E-3</v>
          </cell>
          <cell r="CS73">
            <v>8.6349233300802193E-3</v>
          </cell>
          <cell r="CT73">
            <v>3.46695417914499E-3</v>
          </cell>
          <cell r="CU73">
            <v>1.1069582163749456E-2</v>
          </cell>
          <cell r="CV73">
            <v>5.8918743774795477E-3</v>
          </cell>
          <cell r="CW73">
            <v>8.0506052099996034E-3</v>
          </cell>
          <cell r="CX73">
            <v>4.0447798756691553E-3</v>
          </cell>
          <cell r="CY73">
            <v>6.8819689698383707E-3</v>
          </cell>
          <cell r="CZ73">
            <v>2.7657724350482506E-3</v>
          </cell>
          <cell r="DA73">
            <v>8.0506052099996034E-3</v>
          </cell>
          <cell r="DB73">
            <v>4.0447798756691553E-3</v>
          </cell>
          <cell r="DC73">
            <v>6.8819689698383707E-3</v>
          </cell>
          <cell r="DD73">
            <v>2.7657724350482506E-3</v>
          </cell>
          <cell r="DE73">
            <v>1.0999999999999999E-2</v>
          </cell>
          <cell r="DF73">
            <v>7.4999999999999997E-3</v>
          </cell>
          <cell r="DG73">
            <v>9.7000000000000003E-3</v>
          </cell>
          <cell r="DH73">
            <v>6.1999999999999998E-3</v>
          </cell>
          <cell r="DI73">
            <v>1.83E-2</v>
          </cell>
          <cell r="DJ73">
            <v>1.4800000000000001E-2</v>
          </cell>
          <cell r="DK73">
            <v>1.61E-2</v>
          </cell>
          <cell r="DL73">
            <v>1.26E-2</v>
          </cell>
          <cell r="DM73">
            <v>1.0999999999999999E-2</v>
          </cell>
          <cell r="DN73">
            <v>7.5000000000000006E-3</v>
          </cell>
          <cell r="DO73">
            <v>9.6999999999999986E-3</v>
          </cell>
          <cell r="DP73">
            <v>6.2000000000000006E-3</v>
          </cell>
          <cell r="DQ73">
            <v>1.0999999999999999E-2</v>
          </cell>
          <cell r="DR73">
            <v>7.5000000000000006E-3</v>
          </cell>
          <cell r="DS73">
            <v>9.6999999999999986E-3</v>
          </cell>
          <cell r="DT73">
            <v>6.2000000000000006E-3</v>
          </cell>
          <cell r="DU73">
            <v>8.8000000000000005E-3</v>
          </cell>
          <cell r="DV73">
            <v>5.4000000000000003E-3</v>
          </cell>
          <cell r="DW73">
            <v>7.7999999999999996E-3</v>
          </cell>
          <cell r="DX73">
            <v>4.0000000000000001E-3</v>
          </cell>
          <cell r="DY73">
            <v>9.7000000000000003E-3</v>
          </cell>
          <cell r="DZ73">
            <v>6.0000000000000001E-3</v>
          </cell>
          <cell r="EA73">
            <v>7.3000000000000001E-3</v>
          </cell>
          <cell r="EB73">
            <v>4.4999999999999997E-3</v>
          </cell>
          <cell r="EC73">
            <v>6.4999999999999997E-3</v>
          </cell>
          <cell r="ED73">
            <v>3.3E-3</v>
          </cell>
          <cell r="EE73">
            <v>7.3000000000000001E-3</v>
          </cell>
          <cell r="EF73">
            <v>4.4999999999999997E-3</v>
          </cell>
          <cell r="EG73">
            <v>6.4999999999999997E-3</v>
          </cell>
          <cell r="EH73">
            <v>3.3E-3</v>
          </cell>
          <cell r="EI73">
            <v>1.83E-2</v>
          </cell>
          <cell r="EJ73">
            <v>1.4800000000000001E-2</v>
          </cell>
          <cell r="EK73">
            <v>1.61E-2</v>
          </cell>
          <cell r="EL73">
            <v>1.26E-2</v>
          </cell>
          <cell r="EM73">
            <v>1.0999999999999999E-2</v>
          </cell>
          <cell r="EN73">
            <v>7.5000000000000006E-3</v>
          </cell>
          <cell r="EO73">
            <v>9.6999999999999986E-3</v>
          </cell>
          <cell r="EP73">
            <v>6.2000000000000006E-3</v>
          </cell>
          <cell r="EQ73">
            <v>1.0999999999999999E-2</v>
          </cell>
          <cell r="ER73">
            <v>7.5000000000000006E-3</v>
          </cell>
          <cell r="ES73">
            <v>9.6999999999999986E-3</v>
          </cell>
          <cell r="ET73">
            <v>6.2000000000000006E-3</v>
          </cell>
          <cell r="EU73">
            <v>8.8000000000000005E-3</v>
          </cell>
          <cell r="EV73">
            <v>5.4000000000000003E-3</v>
          </cell>
          <cell r="EW73">
            <v>7.7999999999999996E-3</v>
          </cell>
          <cell r="EX73">
            <v>4.0000000000000001E-3</v>
          </cell>
          <cell r="EY73">
            <v>9.7000000000000003E-3</v>
          </cell>
          <cell r="EZ73">
            <v>6.0000000000000001E-3</v>
          </cell>
          <cell r="FA73">
            <v>7.3000000000000001E-3</v>
          </cell>
          <cell r="FB73">
            <v>4.4999999999999997E-3</v>
          </cell>
          <cell r="FC73">
            <v>6.4999999999999997E-3</v>
          </cell>
          <cell r="FD73">
            <v>3.3E-3</v>
          </cell>
          <cell r="FE73">
            <v>7.3000000000000001E-3</v>
          </cell>
          <cell r="FF73">
            <v>4.4999999999999997E-3</v>
          </cell>
          <cell r="FG73">
            <v>6.4999999999999997E-3</v>
          </cell>
          <cell r="FH73">
            <v>3.3E-3</v>
          </cell>
          <cell r="FI73">
            <v>2.76E-2</v>
          </cell>
          <cell r="FJ73">
            <v>2.4E-2</v>
          </cell>
          <cell r="FK73">
            <v>2.47E-2</v>
          </cell>
          <cell r="FL73">
            <v>2.1100000000000001E-2</v>
          </cell>
          <cell r="FM73">
            <v>2.76E-2</v>
          </cell>
          <cell r="FN73">
            <v>2.4E-2</v>
          </cell>
          <cell r="FO73">
            <v>2.47E-2</v>
          </cell>
          <cell r="FP73">
            <v>2.1100000000000001E-2</v>
          </cell>
          <cell r="FQ73">
            <v>1.11E-2</v>
          </cell>
          <cell r="FR73">
            <v>8.8000000000000005E-3</v>
          </cell>
          <cell r="FS73">
            <v>8.3999999999999995E-3</v>
          </cell>
          <cell r="FT73">
            <v>5.7999999999999996E-3</v>
          </cell>
          <cell r="FU73">
            <v>1.23E-2</v>
          </cell>
          <cell r="FV73">
            <v>9.1000000000000004E-3</v>
          </cell>
          <cell r="FW73">
            <v>9.7000000000000003E-3</v>
          </cell>
          <cell r="FX73">
            <v>7.6E-3</v>
          </cell>
          <cell r="FY73">
            <v>7.3000000000000001E-3</v>
          </cell>
          <cell r="FZ73">
            <v>5.0000000000000001E-3</v>
          </cell>
          <cell r="GA73">
            <v>9.7000000000000003E-3</v>
          </cell>
          <cell r="GB73">
            <v>7.6E-3</v>
          </cell>
          <cell r="GC73">
            <v>7.3000000000000001E-3</v>
          </cell>
          <cell r="GD73">
            <v>5.0000000000000001E-3</v>
          </cell>
          <cell r="GE73">
            <v>2.18E-2</v>
          </cell>
          <cell r="GF73">
            <v>1.9300000000000001E-2</v>
          </cell>
          <cell r="GG73">
            <v>1.9799999999999998E-2</v>
          </cell>
          <cell r="GH73">
            <v>1.6299999999999999E-2</v>
          </cell>
          <cell r="GI73">
            <v>2.18E-2</v>
          </cell>
          <cell r="GJ73">
            <v>1.9300000000000001E-2</v>
          </cell>
          <cell r="GK73">
            <v>1.9799999999999998E-2</v>
          </cell>
          <cell r="GL73">
            <v>1.6299999999999999E-2</v>
          </cell>
          <cell r="GM73">
            <v>1.11E-2</v>
          </cell>
          <cell r="GN73">
            <v>8.3999999999999995E-3</v>
          </cell>
          <cell r="GO73">
            <v>8.3999999999999995E-3</v>
          </cell>
          <cell r="GP73">
            <v>5.5999999999999999E-3</v>
          </cell>
          <cell r="GQ73">
            <v>1.23E-2</v>
          </cell>
          <cell r="GR73">
            <v>8.8000000000000005E-3</v>
          </cell>
          <cell r="GS73">
            <v>9.7000000000000003E-3</v>
          </cell>
          <cell r="GT73">
            <v>7.3000000000000001E-3</v>
          </cell>
          <cell r="GU73">
            <v>7.3000000000000001E-3</v>
          </cell>
          <cell r="GV73">
            <v>4.7999999999999996E-3</v>
          </cell>
          <cell r="GW73">
            <v>9.7000000000000003E-3</v>
          </cell>
          <cell r="GX73">
            <v>7.3000000000000001E-3</v>
          </cell>
          <cell r="GY73">
            <v>7.3000000000000001E-3</v>
          </cell>
          <cell r="GZ73">
            <v>4.7999999999999996E-3</v>
          </cell>
          <cell r="HA73">
            <v>2.18E-2</v>
          </cell>
          <cell r="HB73">
            <v>1.9300000000000001E-2</v>
          </cell>
          <cell r="HC73">
            <v>1.9799999999999998E-2</v>
          </cell>
          <cell r="HD73">
            <v>1.6299999999999999E-2</v>
          </cell>
          <cell r="HE73">
            <v>2.18E-2</v>
          </cell>
          <cell r="HF73">
            <v>1.9300000000000001E-2</v>
          </cell>
          <cell r="HG73">
            <v>1.9799999999999998E-2</v>
          </cell>
          <cell r="HH73">
            <v>1.6299999999999999E-2</v>
          </cell>
          <cell r="HI73">
            <v>1.11E-2</v>
          </cell>
          <cell r="HJ73">
            <v>8.2000000000000007E-3</v>
          </cell>
          <cell r="HK73">
            <v>8.3999999999999995E-3</v>
          </cell>
          <cell r="HL73">
            <v>5.4000000000000003E-3</v>
          </cell>
          <cell r="HM73">
            <v>1.23E-2</v>
          </cell>
          <cell r="HN73">
            <v>8.6E-3</v>
          </cell>
          <cell r="HO73">
            <v>9.7000000000000003E-3</v>
          </cell>
          <cell r="HP73">
            <v>7.1000000000000004E-3</v>
          </cell>
          <cell r="HQ73">
            <v>7.3000000000000001E-3</v>
          </cell>
          <cell r="HR73">
            <v>4.7000000000000002E-3</v>
          </cell>
          <cell r="HS73">
            <v>9.7000000000000003E-3</v>
          </cell>
          <cell r="HT73">
            <v>7.1000000000000004E-3</v>
          </cell>
          <cell r="HU73">
            <v>7.3000000000000001E-3</v>
          </cell>
          <cell r="HV73">
            <v>4.7000000000000002E-3</v>
          </cell>
          <cell r="HW73" t="str">
            <v>%PPL</v>
          </cell>
        </row>
        <row r="74">
          <cell r="AV74" t="str">
            <v>CMU</v>
          </cell>
          <cell r="AW74">
            <v>0.1</v>
          </cell>
          <cell r="AX74">
            <v>0.1</v>
          </cell>
          <cell r="AY74">
            <v>0.1</v>
          </cell>
          <cell r="AZ74">
            <v>0.1</v>
          </cell>
          <cell r="BA74">
            <v>0.1</v>
          </cell>
          <cell r="BB74">
            <v>0.1</v>
          </cell>
          <cell r="BC74">
            <v>0.1</v>
          </cell>
          <cell r="BD74">
            <v>0.1</v>
          </cell>
          <cell r="BE74">
            <v>0.1</v>
          </cell>
          <cell r="BF74">
            <v>0.1</v>
          </cell>
          <cell r="BG74">
            <v>0.1</v>
          </cell>
          <cell r="BH74">
            <v>0.1</v>
          </cell>
          <cell r="BI74">
            <v>0.1</v>
          </cell>
          <cell r="BJ74">
            <v>0.1</v>
          </cell>
          <cell r="BK74">
            <v>0.2</v>
          </cell>
          <cell r="BL74" t="str">
            <v>%PMP</v>
          </cell>
          <cell r="BM74" t="str">
            <v>N/A</v>
          </cell>
          <cell r="BN74" t="str">
            <v>N/A</v>
          </cell>
          <cell r="BO74" t="str">
            <v>N/A</v>
          </cell>
          <cell r="BP74" t="str">
            <v>N/A</v>
          </cell>
          <cell r="BQ74" t="str">
            <v>N/A</v>
          </cell>
          <cell r="BR74" t="str">
            <v>N/A</v>
          </cell>
          <cell r="BS74" t="str">
            <v>N/A</v>
          </cell>
          <cell r="BT74" t="str">
            <v>N/A</v>
          </cell>
          <cell r="BU74" t="str">
            <v>N/A</v>
          </cell>
          <cell r="BV74" t="str">
            <v>N/A</v>
          </cell>
          <cell r="BW74">
            <v>0.11650000000000001</v>
          </cell>
          <cell r="BX74">
            <v>0.11</v>
          </cell>
          <cell r="BY74">
            <v>0.12</v>
          </cell>
          <cell r="BZ74">
            <v>0.11225</v>
          </cell>
          <cell r="CA74" t="str">
            <v>N/A</v>
          </cell>
          <cell r="CB74" t="str">
            <v>N/A</v>
          </cell>
          <cell r="CC74">
            <v>0.110675</v>
          </cell>
          <cell r="CD74">
            <v>0.1045</v>
          </cell>
          <cell r="CE74" t="str">
            <v>N/A</v>
          </cell>
          <cell r="CF74" t="str">
            <v>N/A</v>
          </cell>
          <cell r="CG74">
            <v>0.110675</v>
          </cell>
          <cell r="CH74">
            <v>0.1045</v>
          </cell>
          <cell r="CI74" t="str">
            <v>N/A</v>
          </cell>
          <cell r="CJ74" t="str">
            <v>N/A</v>
          </cell>
          <cell r="CK74" t="str">
            <v>N/A</v>
          </cell>
          <cell r="CL74" t="str">
            <v>N/A</v>
          </cell>
          <cell r="CM74" t="str">
            <v>N/A</v>
          </cell>
          <cell r="CN74" t="str">
            <v>N/A</v>
          </cell>
          <cell r="CO74" t="str">
            <v>N/A</v>
          </cell>
          <cell r="CP74" t="str">
            <v>N/A</v>
          </cell>
          <cell r="CQ74" t="str">
            <v>N/A</v>
          </cell>
          <cell r="CR74" t="str">
            <v>N/A</v>
          </cell>
          <cell r="CS74">
            <v>0.11650000000000001</v>
          </cell>
          <cell r="CT74">
            <v>0.11</v>
          </cell>
          <cell r="CU74">
            <v>0.12</v>
          </cell>
          <cell r="CV74">
            <v>0.11225</v>
          </cell>
          <cell r="CW74" t="str">
            <v>N/A</v>
          </cell>
          <cell r="CX74" t="str">
            <v>N/A</v>
          </cell>
          <cell r="CY74">
            <v>0.110675</v>
          </cell>
          <cell r="CZ74">
            <v>0.1045</v>
          </cell>
          <cell r="DA74" t="str">
            <v>N/A</v>
          </cell>
          <cell r="DB74" t="str">
            <v>N/A</v>
          </cell>
          <cell r="DC74">
            <v>0.110675</v>
          </cell>
          <cell r="DD74">
            <v>0.1045</v>
          </cell>
          <cell r="DE74" t="str">
            <v>N/A</v>
          </cell>
          <cell r="DF74" t="str">
            <v>N/A</v>
          </cell>
          <cell r="DG74" t="str">
            <v>N/A</v>
          </cell>
          <cell r="DH74" t="str">
            <v>N/A</v>
          </cell>
          <cell r="DI74" t="str">
            <v>N/A</v>
          </cell>
          <cell r="DJ74" t="str">
            <v>N/A</v>
          </cell>
          <cell r="DK74" t="str">
            <v>N/A</v>
          </cell>
          <cell r="DL74" t="str">
            <v>N/A</v>
          </cell>
          <cell r="DM74" t="str">
            <v>N/A</v>
          </cell>
          <cell r="DN74" t="str">
            <v>N/A</v>
          </cell>
          <cell r="DO74" t="str">
            <v>N/A</v>
          </cell>
          <cell r="DP74" t="str">
            <v>N/A</v>
          </cell>
          <cell r="DQ74" t="str">
            <v>N/A</v>
          </cell>
          <cell r="DR74" t="str">
            <v>N/A</v>
          </cell>
          <cell r="DS74" t="str">
            <v>N/A</v>
          </cell>
          <cell r="DT74" t="str">
            <v>N/A</v>
          </cell>
          <cell r="DU74" t="str">
            <v>N/A</v>
          </cell>
          <cell r="DV74" t="str">
            <v>N/A</v>
          </cell>
          <cell r="DW74">
            <v>0.11650000000000001</v>
          </cell>
          <cell r="DX74">
            <v>0.11</v>
          </cell>
          <cell r="DY74">
            <v>0.12</v>
          </cell>
          <cell r="DZ74">
            <v>0.11225</v>
          </cell>
          <cell r="EA74" t="str">
            <v>N/A</v>
          </cell>
          <cell r="EB74" t="str">
            <v>N/A</v>
          </cell>
          <cell r="EC74">
            <v>0.11068</v>
          </cell>
          <cell r="ED74">
            <v>0.1045</v>
          </cell>
          <cell r="EE74" t="str">
            <v>N/A</v>
          </cell>
          <cell r="EF74" t="str">
            <v>N/A</v>
          </cell>
          <cell r="EG74">
            <v>0.11068</v>
          </cell>
          <cell r="EH74">
            <v>0.1045</v>
          </cell>
          <cell r="EI74" t="str">
            <v>N/A</v>
          </cell>
          <cell r="EJ74" t="str">
            <v>N/A</v>
          </cell>
          <cell r="EK74" t="str">
            <v>N/A</v>
          </cell>
          <cell r="EL74" t="str">
            <v>N/A</v>
          </cell>
          <cell r="EM74" t="str">
            <v>N/A</v>
          </cell>
          <cell r="EN74" t="str">
            <v>N/A</v>
          </cell>
          <cell r="EO74" t="str">
            <v>N/A</v>
          </cell>
          <cell r="EP74" t="str">
            <v>N/A</v>
          </cell>
          <cell r="EQ74" t="str">
            <v>N/A</v>
          </cell>
          <cell r="ER74" t="str">
            <v>N/A</v>
          </cell>
          <cell r="ES74" t="str">
            <v>N/A</v>
          </cell>
          <cell r="ET74" t="str">
            <v>N/A</v>
          </cell>
          <cell r="EU74" t="str">
            <v>N/A</v>
          </cell>
          <cell r="EV74" t="str">
            <v>N/A</v>
          </cell>
          <cell r="EW74">
            <v>0.11650000000000001</v>
          </cell>
          <cell r="EX74">
            <v>0.11</v>
          </cell>
          <cell r="EY74">
            <v>0.12</v>
          </cell>
          <cell r="EZ74">
            <v>0.11225</v>
          </cell>
          <cell r="FA74" t="str">
            <v>N/A</v>
          </cell>
          <cell r="FB74" t="str">
            <v>N/A</v>
          </cell>
          <cell r="FC74">
            <v>0.11068</v>
          </cell>
          <cell r="FD74">
            <v>0.1045</v>
          </cell>
          <cell r="FE74" t="str">
            <v>N/A</v>
          </cell>
          <cell r="FF74" t="str">
            <v>N/A</v>
          </cell>
          <cell r="FG74">
            <v>0.11068</v>
          </cell>
          <cell r="FH74">
            <v>0.1045</v>
          </cell>
          <cell r="FI74" t="str">
            <v>N/A</v>
          </cell>
          <cell r="FJ74" t="str">
            <v>N/A</v>
          </cell>
          <cell r="FK74" t="str">
            <v>N/A</v>
          </cell>
          <cell r="FL74" t="str">
            <v>N/A</v>
          </cell>
          <cell r="FM74" t="str">
            <v>N/A</v>
          </cell>
          <cell r="FN74" t="str">
            <v>N/A</v>
          </cell>
          <cell r="FO74" t="str">
            <v>N/A</v>
          </cell>
          <cell r="FP74" t="str">
            <v>N/A</v>
          </cell>
          <cell r="FQ74" t="str">
            <v>N/A</v>
          </cell>
          <cell r="FR74" t="str">
            <v>N/A</v>
          </cell>
          <cell r="FS74">
            <v>0.11650000000000001</v>
          </cell>
          <cell r="FT74">
            <v>0.11</v>
          </cell>
          <cell r="FU74">
            <v>0.12</v>
          </cell>
          <cell r="FV74">
            <v>0.11225</v>
          </cell>
          <cell r="FW74" t="str">
            <v>N/A</v>
          </cell>
          <cell r="FX74" t="str">
            <v>N/A</v>
          </cell>
          <cell r="FY74">
            <v>0.11068</v>
          </cell>
          <cell r="FZ74">
            <v>0.1045</v>
          </cell>
          <cell r="GA74" t="str">
            <v>N/A</v>
          </cell>
          <cell r="GB74" t="str">
            <v>N/A</v>
          </cell>
          <cell r="GC74">
            <v>0.11068</v>
          </cell>
          <cell r="GD74">
            <v>0.1045</v>
          </cell>
          <cell r="GE74" t="str">
            <v>N/A</v>
          </cell>
          <cell r="GF74" t="str">
            <v>N/A</v>
          </cell>
          <cell r="GG74" t="str">
            <v>N/A</v>
          </cell>
          <cell r="GH74" t="str">
            <v>N/A</v>
          </cell>
          <cell r="GI74" t="str">
            <v>N/A</v>
          </cell>
          <cell r="GJ74" t="str">
            <v>N/A</v>
          </cell>
          <cell r="GK74" t="str">
            <v>N/A</v>
          </cell>
          <cell r="GL74" t="str">
            <v>N/A</v>
          </cell>
          <cell r="GM74" t="str">
            <v>N/A</v>
          </cell>
          <cell r="GN74" t="str">
            <v>N/A</v>
          </cell>
          <cell r="GO74">
            <v>0.11650000000000001</v>
          </cell>
          <cell r="GP74">
            <v>0.11</v>
          </cell>
          <cell r="GQ74">
            <v>0.12</v>
          </cell>
          <cell r="GR74">
            <v>0.11225</v>
          </cell>
          <cell r="GS74" t="str">
            <v>N/A</v>
          </cell>
          <cell r="GT74" t="str">
            <v>N/A</v>
          </cell>
          <cell r="GU74">
            <v>0.11068</v>
          </cell>
          <cell r="GV74">
            <v>0.1045</v>
          </cell>
          <cell r="GW74" t="str">
            <v>N/A</v>
          </cell>
          <cell r="GX74" t="str">
            <v>N/A</v>
          </cell>
          <cell r="GY74">
            <v>0.11068</v>
          </cell>
          <cell r="GZ74">
            <v>0.1045</v>
          </cell>
          <cell r="HA74" t="str">
            <v>N/A</v>
          </cell>
          <cell r="HB74" t="str">
            <v>N/A</v>
          </cell>
          <cell r="HC74" t="str">
            <v>N/A</v>
          </cell>
          <cell r="HD74" t="str">
            <v>N/A</v>
          </cell>
          <cell r="HE74" t="str">
            <v>N/A</v>
          </cell>
          <cell r="HF74" t="str">
            <v>N/A</v>
          </cell>
          <cell r="HG74" t="str">
            <v>N/A</v>
          </cell>
          <cell r="HH74" t="str">
            <v>N/A</v>
          </cell>
          <cell r="HI74" t="str">
            <v>N/A</v>
          </cell>
          <cell r="HJ74" t="str">
            <v>N/A</v>
          </cell>
          <cell r="HK74">
            <v>0.11650000000000001</v>
          </cell>
          <cell r="HL74">
            <v>0.11</v>
          </cell>
          <cell r="HM74">
            <v>0.12</v>
          </cell>
          <cell r="HN74">
            <v>0.11225</v>
          </cell>
          <cell r="HO74" t="str">
            <v>N/A</v>
          </cell>
          <cell r="HP74" t="str">
            <v>N/A</v>
          </cell>
          <cell r="HQ74">
            <v>0.11068</v>
          </cell>
          <cell r="HR74">
            <v>0.1045</v>
          </cell>
          <cell r="HS74" t="str">
            <v>N/A</v>
          </cell>
          <cell r="HT74" t="str">
            <v>N/A</v>
          </cell>
          <cell r="HU74">
            <v>0.11068</v>
          </cell>
          <cell r="HV74">
            <v>0.1045</v>
          </cell>
          <cell r="HW74" t="str">
            <v>%PPL</v>
          </cell>
        </row>
        <row r="75">
          <cell r="AV75" t="str">
            <v>CMU HW</v>
          </cell>
          <cell r="AW75">
            <v>0.3</v>
          </cell>
          <cell r="AX75">
            <v>0.3</v>
          </cell>
          <cell r="AY75">
            <v>0.3</v>
          </cell>
          <cell r="AZ75">
            <v>0.3</v>
          </cell>
          <cell r="BA75">
            <v>0.3</v>
          </cell>
          <cell r="BB75">
            <v>0.3</v>
          </cell>
          <cell r="BC75">
            <v>0.3</v>
          </cell>
          <cell r="BD75">
            <v>0.3</v>
          </cell>
          <cell r="BE75">
            <v>0.3</v>
          </cell>
          <cell r="BF75">
            <v>0.3</v>
          </cell>
          <cell r="BG75">
            <v>0.3</v>
          </cell>
          <cell r="BH75">
            <v>0.3</v>
          </cell>
          <cell r="BI75">
            <v>0.3</v>
          </cell>
          <cell r="BJ75">
            <v>0.3</v>
          </cell>
          <cell r="BK75">
            <v>0</v>
          </cell>
          <cell r="BL75" t="str">
            <v>%PMP</v>
          </cell>
          <cell r="BM75" t="str">
            <v>N/A</v>
          </cell>
          <cell r="BN75" t="str">
            <v>N/A</v>
          </cell>
          <cell r="BO75" t="str">
            <v>N/A</v>
          </cell>
          <cell r="BP75" t="str">
            <v>N/A</v>
          </cell>
          <cell r="BQ75" t="str">
            <v>N/A</v>
          </cell>
          <cell r="BR75" t="str">
            <v>N/A</v>
          </cell>
          <cell r="BS75" t="str">
            <v>N/A</v>
          </cell>
          <cell r="BT75" t="str">
            <v>N/A</v>
          </cell>
          <cell r="BU75" t="str">
            <v>N/A</v>
          </cell>
          <cell r="BV75" t="str">
            <v>N/A</v>
          </cell>
          <cell r="BW75" t="str">
            <v>N/A</v>
          </cell>
          <cell r="BX75" t="str">
            <v>N/A</v>
          </cell>
          <cell r="BY75" t="str">
            <v>N/A</v>
          </cell>
          <cell r="BZ75" t="str">
            <v>N/A</v>
          </cell>
          <cell r="CA75" t="str">
            <v>N/A</v>
          </cell>
          <cell r="CB75" t="str">
            <v>N/A</v>
          </cell>
          <cell r="CC75" t="str">
            <v>N/A</v>
          </cell>
          <cell r="CD75" t="str">
            <v>N/A</v>
          </cell>
          <cell r="CE75" t="str">
            <v>N/A</v>
          </cell>
          <cell r="CF75" t="str">
            <v>N/A</v>
          </cell>
          <cell r="CG75" t="str">
            <v>N/A</v>
          </cell>
          <cell r="CH75" t="str">
            <v>N/A</v>
          </cell>
          <cell r="CI75" t="str">
            <v>N/A</v>
          </cell>
          <cell r="CJ75" t="str">
            <v>N/A</v>
          </cell>
          <cell r="CK75" t="str">
            <v>N/A</v>
          </cell>
          <cell r="CL75" t="str">
            <v>N/A</v>
          </cell>
          <cell r="CM75" t="str">
            <v>N/A</v>
          </cell>
          <cell r="CN75" t="str">
            <v>N/A</v>
          </cell>
          <cell r="CO75" t="str">
            <v>N/A</v>
          </cell>
          <cell r="CP75" t="str">
            <v>N/A</v>
          </cell>
          <cell r="CQ75" t="str">
            <v>N/A</v>
          </cell>
          <cell r="CR75" t="str">
            <v>N/A</v>
          </cell>
          <cell r="CS75" t="str">
            <v>N/A</v>
          </cell>
          <cell r="CT75" t="str">
            <v>N/A</v>
          </cell>
          <cell r="CU75" t="str">
            <v>N/A</v>
          </cell>
          <cell r="CV75" t="str">
            <v>N/A</v>
          </cell>
          <cell r="CW75" t="str">
            <v>N/A</v>
          </cell>
          <cell r="CX75" t="str">
            <v>N/A</v>
          </cell>
          <cell r="CY75" t="str">
            <v>N/A</v>
          </cell>
          <cell r="CZ75" t="str">
            <v>N/A</v>
          </cell>
          <cell r="DA75" t="str">
            <v>N/A</v>
          </cell>
          <cell r="DB75" t="str">
            <v>N/A</v>
          </cell>
          <cell r="DC75" t="str">
            <v>N/A</v>
          </cell>
          <cell r="DD75" t="str">
            <v>N/A</v>
          </cell>
          <cell r="DE75" t="str">
            <v>N/A</v>
          </cell>
          <cell r="DF75" t="str">
            <v>N/A</v>
          </cell>
          <cell r="DG75" t="str">
            <v>N/A</v>
          </cell>
          <cell r="DH75" t="str">
            <v>N/A</v>
          </cell>
          <cell r="DI75" t="str">
            <v>N/A</v>
          </cell>
          <cell r="DJ75" t="str">
            <v>N/A</v>
          </cell>
          <cell r="DK75" t="str">
            <v>N/A</v>
          </cell>
          <cell r="DL75" t="str">
            <v>N/A</v>
          </cell>
          <cell r="DM75" t="str">
            <v>N/A</v>
          </cell>
          <cell r="DN75" t="str">
            <v>N/A</v>
          </cell>
          <cell r="DO75" t="str">
            <v>N/A</v>
          </cell>
          <cell r="DP75" t="str">
            <v>N/A</v>
          </cell>
          <cell r="DQ75" t="str">
            <v>N/A</v>
          </cell>
          <cell r="DR75" t="str">
            <v>N/A</v>
          </cell>
          <cell r="DS75" t="str">
            <v>N/A</v>
          </cell>
          <cell r="DT75" t="str">
            <v>N/A</v>
          </cell>
          <cell r="DU75" t="str">
            <v>N/A</v>
          </cell>
          <cell r="DV75" t="str">
            <v>N/A</v>
          </cell>
          <cell r="DW75" t="str">
            <v>N/A</v>
          </cell>
          <cell r="DX75" t="str">
            <v>N/A</v>
          </cell>
          <cell r="DY75" t="str">
            <v>N/A</v>
          </cell>
          <cell r="DZ75" t="str">
            <v>N/A</v>
          </cell>
          <cell r="EA75" t="str">
            <v>N/A</v>
          </cell>
          <cell r="EB75" t="str">
            <v>N/A</v>
          </cell>
          <cell r="EC75" t="str">
            <v>N/A</v>
          </cell>
          <cell r="ED75" t="str">
            <v>N/A</v>
          </cell>
          <cell r="EE75" t="str">
            <v>N/A</v>
          </cell>
          <cell r="EF75" t="str">
            <v>N/A</v>
          </cell>
          <cell r="EG75" t="str">
            <v>N/A</v>
          </cell>
          <cell r="EH75" t="str">
            <v>N/A</v>
          </cell>
          <cell r="EI75" t="str">
            <v>N/A</v>
          </cell>
          <cell r="EJ75" t="str">
            <v>N/A</v>
          </cell>
          <cell r="EK75" t="str">
            <v>N/A</v>
          </cell>
          <cell r="EL75" t="str">
            <v>N/A</v>
          </cell>
          <cell r="EM75" t="str">
            <v>N/A</v>
          </cell>
          <cell r="EN75" t="str">
            <v>N/A</v>
          </cell>
          <cell r="EO75" t="str">
            <v>N/A</v>
          </cell>
          <cell r="EP75" t="str">
            <v>N/A</v>
          </cell>
          <cell r="EQ75" t="str">
            <v>N/A</v>
          </cell>
          <cell r="ER75" t="str">
            <v>N/A</v>
          </cell>
          <cell r="ES75" t="str">
            <v>N/A</v>
          </cell>
          <cell r="ET75" t="str">
            <v>N/A</v>
          </cell>
          <cell r="EU75" t="str">
            <v>N/A</v>
          </cell>
          <cell r="EV75" t="str">
            <v>N/A</v>
          </cell>
          <cell r="EW75" t="str">
            <v>N/A</v>
          </cell>
          <cell r="EX75" t="str">
            <v>N/A</v>
          </cell>
          <cell r="EY75" t="str">
            <v>N/A</v>
          </cell>
          <cell r="EZ75" t="str">
            <v>N/A</v>
          </cell>
          <cell r="FA75" t="str">
            <v>N/A</v>
          </cell>
          <cell r="FB75" t="str">
            <v>N/A</v>
          </cell>
          <cell r="FC75" t="str">
            <v>N/A</v>
          </cell>
          <cell r="FD75" t="str">
            <v>N/A</v>
          </cell>
          <cell r="FE75" t="str">
            <v>N/A</v>
          </cell>
          <cell r="FF75" t="str">
            <v>N/A</v>
          </cell>
          <cell r="FG75" t="str">
            <v>N/A</v>
          </cell>
          <cell r="FH75" t="str">
            <v>N/A</v>
          </cell>
          <cell r="FI75" t="str">
            <v>N/A</v>
          </cell>
          <cell r="FJ75" t="str">
            <v>N/A</v>
          </cell>
          <cell r="FK75" t="str">
            <v>N/A</v>
          </cell>
          <cell r="FL75" t="str">
            <v>N/A</v>
          </cell>
          <cell r="FM75" t="str">
            <v>N/A</v>
          </cell>
          <cell r="FN75" t="str">
            <v>N/A</v>
          </cell>
          <cell r="FO75" t="str">
            <v>N/A</v>
          </cell>
          <cell r="FP75" t="str">
            <v>N/A</v>
          </cell>
          <cell r="FQ75" t="str">
            <v>N/A</v>
          </cell>
          <cell r="FR75" t="str">
            <v>N/A</v>
          </cell>
          <cell r="FS75" t="str">
            <v>N/A</v>
          </cell>
          <cell r="FT75" t="str">
            <v>N/A</v>
          </cell>
          <cell r="FU75" t="str">
            <v>N/A</v>
          </cell>
          <cell r="FV75" t="str">
            <v>N/A</v>
          </cell>
          <cell r="FW75" t="str">
            <v>N/A</v>
          </cell>
          <cell r="FX75" t="str">
            <v>N/A</v>
          </cell>
          <cell r="FY75" t="str">
            <v>N/A</v>
          </cell>
          <cell r="FZ75" t="str">
            <v>N/A</v>
          </cell>
          <cell r="GA75" t="str">
            <v>N/A</v>
          </cell>
          <cell r="GB75" t="str">
            <v>N/A</v>
          </cell>
          <cell r="GC75" t="str">
            <v>N/A</v>
          </cell>
          <cell r="GD75" t="str">
            <v>N/A</v>
          </cell>
          <cell r="GE75" t="str">
            <v>N/A</v>
          </cell>
          <cell r="GF75" t="str">
            <v>N/A</v>
          </cell>
          <cell r="GG75" t="str">
            <v>N/A</v>
          </cell>
          <cell r="GH75" t="str">
            <v>N/A</v>
          </cell>
          <cell r="GI75" t="str">
            <v>N/A</v>
          </cell>
          <cell r="GJ75" t="str">
            <v>N/A</v>
          </cell>
          <cell r="GK75" t="str">
            <v>N/A</v>
          </cell>
          <cell r="GL75" t="str">
            <v>N/A</v>
          </cell>
          <cell r="GM75" t="str">
            <v>N/A</v>
          </cell>
          <cell r="GN75" t="str">
            <v>N/A</v>
          </cell>
          <cell r="GO75" t="str">
            <v>N/A</v>
          </cell>
          <cell r="GP75" t="str">
            <v>N/A</v>
          </cell>
          <cell r="GQ75" t="str">
            <v>N/A</v>
          </cell>
          <cell r="GR75" t="str">
            <v>N/A</v>
          </cell>
          <cell r="GS75" t="str">
            <v>N/A</v>
          </cell>
          <cell r="GT75" t="str">
            <v>N/A</v>
          </cell>
          <cell r="GU75" t="str">
            <v>N/A</v>
          </cell>
          <cell r="GV75" t="str">
            <v>N/A</v>
          </cell>
          <cell r="GW75" t="str">
            <v>N/A</v>
          </cell>
          <cell r="GX75" t="str">
            <v>N/A</v>
          </cell>
          <cell r="GY75" t="str">
            <v>N/A</v>
          </cell>
          <cell r="GZ75" t="str">
            <v>N/A</v>
          </cell>
          <cell r="HA75" t="str">
            <v>N/A</v>
          </cell>
          <cell r="HB75" t="str">
            <v>N/A</v>
          </cell>
          <cell r="HC75" t="str">
            <v>N/A</v>
          </cell>
          <cell r="HD75" t="str">
            <v>N/A</v>
          </cell>
          <cell r="HE75" t="str">
            <v>N/A</v>
          </cell>
          <cell r="HF75" t="str">
            <v>N/A</v>
          </cell>
          <cell r="HG75" t="str">
            <v>N/A</v>
          </cell>
          <cell r="HH75" t="str">
            <v>N/A</v>
          </cell>
          <cell r="HI75" t="str">
            <v>N/A</v>
          </cell>
          <cell r="HJ75" t="str">
            <v>N/A</v>
          </cell>
          <cell r="HK75" t="str">
            <v>N/A</v>
          </cell>
          <cell r="HL75" t="str">
            <v>N/A</v>
          </cell>
          <cell r="HM75" t="str">
            <v>N/A</v>
          </cell>
          <cell r="HN75" t="str">
            <v>N/A</v>
          </cell>
          <cell r="HO75" t="str">
            <v>N/A</v>
          </cell>
          <cell r="HP75" t="str">
            <v>N/A</v>
          </cell>
          <cell r="HQ75" t="str">
            <v>N/A</v>
          </cell>
          <cell r="HR75" t="str">
            <v>N/A</v>
          </cell>
          <cell r="HS75" t="str">
            <v>N/A</v>
          </cell>
          <cell r="HT75" t="str">
            <v>N/A</v>
          </cell>
          <cell r="HU75" t="str">
            <v>N/A</v>
          </cell>
          <cell r="HV75" t="str">
            <v>N/A</v>
          </cell>
          <cell r="HW75" t="str">
            <v>%PPL</v>
          </cell>
        </row>
        <row r="76">
          <cell r="AV76" t="str">
            <v>MPW20 Services</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t="str">
            <v>%PMP</v>
          </cell>
          <cell r="BM76" t="str">
            <v>N/A</v>
          </cell>
          <cell r="BN76" t="str">
            <v>N/A</v>
          </cell>
          <cell r="BO76" t="str">
            <v>N/A</v>
          </cell>
          <cell r="BP76" t="str">
            <v>N/A</v>
          </cell>
          <cell r="BQ76" t="str">
            <v>N/A</v>
          </cell>
          <cell r="BR76" t="str">
            <v>N/A</v>
          </cell>
          <cell r="BS76" t="str">
            <v>N/A</v>
          </cell>
          <cell r="BT76" t="str">
            <v>N/A</v>
          </cell>
          <cell r="BU76" t="str">
            <v>N/A</v>
          </cell>
          <cell r="BV76" t="str">
            <v>N/A</v>
          </cell>
          <cell r="BW76" t="str">
            <v>N/A</v>
          </cell>
          <cell r="BX76" t="str">
            <v>N/A</v>
          </cell>
          <cell r="BY76" t="str">
            <v>N/A</v>
          </cell>
          <cell r="BZ76" t="str">
            <v>N/A</v>
          </cell>
          <cell r="CA76" t="str">
            <v>N/A</v>
          </cell>
          <cell r="CB76" t="str">
            <v>N/A</v>
          </cell>
          <cell r="CC76" t="str">
            <v>N/A</v>
          </cell>
          <cell r="CD76" t="str">
            <v>N/A</v>
          </cell>
          <cell r="CE76" t="str">
            <v>N/A</v>
          </cell>
          <cell r="CF76" t="str">
            <v>N/A</v>
          </cell>
          <cell r="CG76" t="str">
            <v>N/A</v>
          </cell>
          <cell r="CH76" t="str">
            <v>N/A</v>
          </cell>
          <cell r="CI76" t="str">
            <v>N/A</v>
          </cell>
          <cell r="CJ76" t="str">
            <v>N/A</v>
          </cell>
          <cell r="CK76" t="str">
            <v>N/A</v>
          </cell>
          <cell r="CL76" t="str">
            <v>N/A</v>
          </cell>
          <cell r="CM76" t="str">
            <v>N/A</v>
          </cell>
          <cell r="CN76" t="str">
            <v>N/A</v>
          </cell>
          <cell r="CO76" t="str">
            <v>N/A</v>
          </cell>
          <cell r="CP76" t="str">
            <v>N/A</v>
          </cell>
          <cell r="CQ76" t="str">
            <v>N/A</v>
          </cell>
          <cell r="CR76" t="str">
            <v>N/A</v>
          </cell>
          <cell r="CS76" t="str">
            <v>N/A</v>
          </cell>
          <cell r="CT76" t="str">
            <v>N/A</v>
          </cell>
          <cell r="CU76" t="str">
            <v>N/A</v>
          </cell>
          <cell r="CV76" t="str">
            <v>N/A</v>
          </cell>
          <cell r="CW76" t="str">
            <v>N/A</v>
          </cell>
          <cell r="CX76" t="str">
            <v>N/A</v>
          </cell>
          <cell r="CY76" t="str">
            <v>N/A</v>
          </cell>
          <cell r="CZ76" t="str">
            <v>N/A</v>
          </cell>
          <cell r="DA76" t="str">
            <v>N/A</v>
          </cell>
          <cell r="DB76" t="str">
            <v>N/A</v>
          </cell>
          <cell r="DC76" t="str">
            <v>N/A</v>
          </cell>
          <cell r="DD76" t="str">
            <v>N/A</v>
          </cell>
          <cell r="DE76" t="str">
            <v>N/A</v>
          </cell>
          <cell r="DF76" t="str">
            <v>N/A</v>
          </cell>
          <cell r="DG76" t="str">
            <v>N/A</v>
          </cell>
          <cell r="DH76" t="str">
            <v>N/A</v>
          </cell>
          <cell r="DI76" t="str">
            <v>N/A</v>
          </cell>
          <cell r="DJ76" t="str">
            <v>N/A</v>
          </cell>
          <cell r="DK76" t="str">
            <v>N/A</v>
          </cell>
          <cell r="DL76" t="str">
            <v>N/A</v>
          </cell>
          <cell r="DM76" t="str">
            <v>N/A</v>
          </cell>
          <cell r="DN76" t="str">
            <v>N/A</v>
          </cell>
          <cell r="DO76" t="str">
            <v>N/A</v>
          </cell>
          <cell r="DP76" t="str">
            <v>N/A</v>
          </cell>
          <cell r="DQ76" t="str">
            <v>N/A</v>
          </cell>
          <cell r="DR76" t="str">
            <v>N/A</v>
          </cell>
          <cell r="DS76" t="str">
            <v>N/A</v>
          </cell>
          <cell r="DT76" t="str">
            <v>N/A</v>
          </cell>
          <cell r="DU76" t="str">
            <v>N/A</v>
          </cell>
          <cell r="DV76" t="str">
            <v>N/A</v>
          </cell>
          <cell r="DW76" t="str">
            <v>N/A</v>
          </cell>
          <cell r="DX76" t="str">
            <v>N/A</v>
          </cell>
          <cell r="DY76" t="str">
            <v>N/A</v>
          </cell>
          <cell r="DZ76" t="str">
            <v>N/A</v>
          </cell>
          <cell r="EA76" t="str">
            <v>N/A</v>
          </cell>
          <cell r="EB76" t="str">
            <v>N/A</v>
          </cell>
          <cell r="EC76" t="str">
            <v>N/A</v>
          </cell>
          <cell r="ED76" t="str">
            <v>N/A</v>
          </cell>
          <cell r="EE76" t="str">
            <v>N/A</v>
          </cell>
          <cell r="EF76" t="str">
            <v>N/A</v>
          </cell>
          <cell r="EG76" t="str">
            <v>N/A</v>
          </cell>
          <cell r="EH76" t="str">
            <v>N/A</v>
          </cell>
          <cell r="EI76" t="str">
            <v>N/A</v>
          </cell>
          <cell r="EJ76" t="str">
            <v>N/A</v>
          </cell>
          <cell r="EK76" t="str">
            <v>N/A</v>
          </cell>
          <cell r="EL76" t="str">
            <v>N/A</v>
          </cell>
          <cell r="EM76" t="str">
            <v>N/A</v>
          </cell>
          <cell r="EN76" t="str">
            <v>N/A</v>
          </cell>
          <cell r="EO76" t="str">
            <v>N/A</v>
          </cell>
          <cell r="EP76" t="str">
            <v>N/A</v>
          </cell>
          <cell r="EQ76" t="str">
            <v>N/A</v>
          </cell>
          <cell r="ER76" t="str">
            <v>N/A</v>
          </cell>
          <cell r="ES76" t="str">
            <v>N/A</v>
          </cell>
          <cell r="ET76" t="str">
            <v>N/A</v>
          </cell>
          <cell r="EU76" t="str">
            <v>N/A</v>
          </cell>
          <cell r="EV76" t="str">
            <v>N/A</v>
          </cell>
          <cell r="EW76" t="str">
            <v>N/A</v>
          </cell>
          <cell r="EX76" t="str">
            <v>N/A</v>
          </cell>
          <cell r="EY76" t="str">
            <v>N/A</v>
          </cell>
          <cell r="EZ76" t="str">
            <v>N/A</v>
          </cell>
          <cell r="FA76" t="str">
            <v>N/A</v>
          </cell>
          <cell r="FB76" t="str">
            <v>N/A</v>
          </cell>
          <cell r="FC76" t="str">
            <v>N/A</v>
          </cell>
          <cell r="FD76" t="str">
            <v>N/A</v>
          </cell>
          <cell r="FE76" t="str">
            <v>N/A</v>
          </cell>
          <cell r="FF76" t="str">
            <v>N/A</v>
          </cell>
          <cell r="FG76" t="str">
            <v>N/A</v>
          </cell>
          <cell r="FH76" t="str">
            <v>N/A</v>
          </cell>
          <cell r="FI76" t="str">
            <v>N/A</v>
          </cell>
          <cell r="FJ76" t="str">
            <v>N/A</v>
          </cell>
          <cell r="FK76" t="str">
            <v>N/A</v>
          </cell>
          <cell r="FL76" t="str">
            <v>N/A</v>
          </cell>
          <cell r="FM76" t="str">
            <v>N/A</v>
          </cell>
          <cell r="FN76" t="str">
            <v>N/A</v>
          </cell>
          <cell r="FO76" t="str">
            <v>N/A</v>
          </cell>
          <cell r="FP76" t="str">
            <v>N/A</v>
          </cell>
          <cell r="FQ76" t="str">
            <v>N/A</v>
          </cell>
          <cell r="FR76" t="str">
            <v>N/A</v>
          </cell>
          <cell r="FS76" t="str">
            <v>N/A</v>
          </cell>
          <cell r="FT76" t="str">
            <v>N/A</v>
          </cell>
          <cell r="FU76" t="str">
            <v>N/A</v>
          </cell>
          <cell r="FV76" t="str">
            <v>N/A</v>
          </cell>
          <cell r="FW76" t="str">
            <v>N/A</v>
          </cell>
          <cell r="FX76" t="str">
            <v>N/A</v>
          </cell>
          <cell r="FY76" t="str">
            <v>N/A</v>
          </cell>
          <cell r="FZ76" t="str">
            <v>N/A</v>
          </cell>
          <cell r="GA76" t="str">
            <v>N/A</v>
          </cell>
          <cell r="GB76" t="str">
            <v>N/A</v>
          </cell>
          <cell r="GC76" t="str">
            <v>N/A</v>
          </cell>
          <cell r="GD76" t="str">
            <v>N/A</v>
          </cell>
          <cell r="GE76" t="str">
            <v>N/A</v>
          </cell>
          <cell r="GF76" t="str">
            <v>N/A</v>
          </cell>
          <cell r="GG76" t="str">
            <v>N/A</v>
          </cell>
          <cell r="GH76" t="str">
            <v>N/A</v>
          </cell>
          <cell r="GI76" t="str">
            <v>N/A</v>
          </cell>
          <cell r="GJ76" t="str">
            <v>N/A</v>
          </cell>
          <cell r="GK76" t="str">
            <v>N/A</v>
          </cell>
          <cell r="GL76" t="str">
            <v>N/A</v>
          </cell>
          <cell r="GM76" t="str">
            <v>N/A</v>
          </cell>
          <cell r="GN76" t="str">
            <v>N/A</v>
          </cell>
          <cell r="GO76" t="str">
            <v>N/A</v>
          </cell>
          <cell r="GP76" t="str">
            <v>N/A</v>
          </cell>
          <cell r="GQ76" t="str">
            <v>N/A</v>
          </cell>
          <cell r="GR76" t="str">
            <v>N/A</v>
          </cell>
          <cell r="GS76" t="str">
            <v>N/A</v>
          </cell>
          <cell r="GT76" t="str">
            <v>N/A</v>
          </cell>
          <cell r="GU76" t="str">
            <v>N/A</v>
          </cell>
          <cell r="GV76" t="str">
            <v>N/A</v>
          </cell>
          <cell r="GW76" t="str">
            <v>N/A</v>
          </cell>
          <cell r="GX76" t="str">
            <v>N/A</v>
          </cell>
          <cell r="GY76" t="str">
            <v>N/A</v>
          </cell>
          <cell r="GZ76" t="str">
            <v>N/A</v>
          </cell>
          <cell r="HA76" t="str">
            <v>N/A</v>
          </cell>
          <cell r="HB76" t="str">
            <v>N/A</v>
          </cell>
          <cell r="HC76" t="str">
            <v>N/A</v>
          </cell>
          <cell r="HD76" t="str">
            <v>N/A</v>
          </cell>
          <cell r="HE76" t="str">
            <v>N/A</v>
          </cell>
          <cell r="HF76" t="str">
            <v>N/A</v>
          </cell>
          <cell r="HG76" t="str">
            <v>N/A</v>
          </cell>
          <cell r="HH76" t="str">
            <v>N/A</v>
          </cell>
          <cell r="HI76" t="str">
            <v>N/A</v>
          </cell>
          <cell r="HJ76" t="str">
            <v>N/A</v>
          </cell>
          <cell r="HK76" t="str">
            <v>N/A</v>
          </cell>
          <cell r="HL76" t="str">
            <v>N/A</v>
          </cell>
          <cell r="HM76" t="str">
            <v>N/A</v>
          </cell>
          <cell r="HN76" t="str">
            <v>N/A</v>
          </cell>
          <cell r="HO76" t="str">
            <v>N/A</v>
          </cell>
          <cell r="HP76" t="str">
            <v>N/A</v>
          </cell>
          <cell r="HQ76" t="str">
            <v>N/A</v>
          </cell>
          <cell r="HR76" t="str">
            <v>N/A</v>
          </cell>
          <cell r="HS76" t="str">
            <v>N/A</v>
          </cell>
          <cell r="HT76" t="str">
            <v>N/A</v>
          </cell>
          <cell r="HU76" t="str">
            <v>N/A</v>
          </cell>
          <cell r="HV76" t="str">
            <v>N/A</v>
          </cell>
          <cell r="HW76" t="str">
            <v>%PPL</v>
          </cell>
        </row>
        <row r="77">
          <cell r="AV77" t="str">
            <v>IPR Patch PNL, Cable, Module</v>
          </cell>
          <cell r="AW77">
            <v>0.83499999999999996</v>
          </cell>
          <cell r="AX77">
            <v>0.7</v>
          </cell>
          <cell r="AY77">
            <v>0.75</v>
          </cell>
          <cell r="AZ77">
            <v>0.75</v>
          </cell>
          <cell r="BA77">
            <v>0.71</v>
          </cell>
          <cell r="BB77">
            <v>0.75</v>
          </cell>
          <cell r="BC77">
            <v>0.75</v>
          </cell>
          <cell r="BD77">
            <v>0.71</v>
          </cell>
          <cell r="BE77">
            <v>0.75</v>
          </cell>
          <cell r="BF77">
            <v>0.75</v>
          </cell>
          <cell r="BG77">
            <v>0.75</v>
          </cell>
          <cell r="BH77">
            <v>0.75</v>
          </cell>
          <cell r="BI77">
            <v>0.78</v>
          </cell>
          <cell r="BJ77">
            <v>0.6</v>
          </cell>
          <cell r="BK77">
            <v>2.5000000000000001E-2</v>
          </cell>
          <cell r="BL77" t="str">
            <v>%PMP</v>
          </cell>
          <cell r="BM77">
            <v>3.5558983650000001E-2</v>
          </cell>
          <cell r="BN77">
            <v>2.61208E-2</v>
          </cell>
          <cell r="BO77">
            <v>3.3232695E-2</v>
          </cell>
          <cell r="BP77">
            <v>1.9527200000000002E-2</v>
          </cell>
          <cell r="BQ77">
            <v>3.5558983650000001E-2</v>
          </cell>
          <cell r="BR77">
            <v>2.61208E-2</v>
          </cell>
          <cell r="BS77">
            <v>3.3232695E-2</v>
          </cell>
          <cell r="BT77">
            <v>1.9527200000000002E-2</v>
          </cell>
          <cell r="BU77">
            <v>3.3232695E-2</v>
          </cell>
          <cell r="BV77">
            <v>1.9884459000000004E-2</v>
          </cell>
          <cell r="BW77">
            <v>2.6062155E-2</v>
          </cell>
          <cell r="BX77">
            <v>1.2741497999999999E-2</v>
          </cell>
          <cell r="BY77">
            <v>3.6555964500000003E-2</v>
          </cell>
          <cell r="BZ77">
            <v>2.3435255249999998E-2</v>
          </cell>
          <cell r="CA77">
            <v>2.6599999999999999E-2</v>
          </cell>
          <cell r="CB77">
            <v>1.5915850622406639E-2</v>
          </cell>
          <cell r="CC77">
            <v>2.086E-2</v>
          </cell>
          <cell r="CD77">
            <v>1.0200000000000001E-2</v>
          </cell>
          <cell r="CE77">
            <v>2.6599999999999999E-2</v>
          </cell>
          <cell r="CF77">
            <v>1.5915850622406639E-2</v>
          </cell>
          <cell r="CG77">
            <v>2.086E-2</v>
          </cell>
          <cell r="CH77">
            <v>1.0200000000000001E-2</v>
          </cell>
          <cell r="CI77">
            <v>2.6609321258867457E-2</v>
          </cell>
          <cell r="CJ77">
            <v>1.9730928016980159E-2</v>
          </cell>
          <cell r="CK77">
            <v>2.4868524540997621E-2</v>
          </cell>
          <cell r="CL77">
            <v>1.6796584875993368E-2</v>
          </cell>
          <cell r="CM77">
            <v>2.6609321258867457E-2</v>
          </cell>
          <cell r="CN77">
            <v>1.9730928016980159E-2</v>
          </cell>
          <cell r="CO77">
            <v>2.4868524540997621E-2</v>
          </cell>
          <cell r="CP77">
            <v>1.6796584875993368E-2</v>
          </cell>
          <cell r="CQ77">
            <v>2.4868524540997621E-2</v>
          </cell>
          <cell r="CR77">
            <v>1.4756329531327004E-2</v>
          </cell>
          <cell r="CS77">
            <v>2.1731884447729895E-2</v>
          </cell>
          <cell r="CT77">
            <v>1.0766420688092663E-2</v>
          </cell>
          <cell r="CU77">
            <v>2.7359374925035471E-2</v>
          </cell>
          <cell r="CV77">
            <v>1.7398173935464025E-2</v>
          </cell>
          <cell r="CW77">
            <v>1.9904307154457023E-2</v>
          </cell>
          <cell r="CX77">
            <v>1.1815920519873124E-2</v>
          </cell>
          <cell r="CY77">
            <v>1.7398173935464025E-2</v>
          </cell>
          <cell r="CZ77">
            <v>8.6221839628170659E-3</v>
          </cell>
          <cell r="DA77">
            <v>1.9904307154457023E-2</v>
          </cell>
          <cell r="DB77">
            <v>1.1815920519873124E-2</v>
          </cell>
          <cell r="DC77">
            <v>1.7398173935464025E-2</v>
          </cell>
          <cell r="DD77">
            <v>8.6221839628170659E-3</v>
          </cell>
          <cell r="DE77">
            <v>2.7640000000000001E-2</v>
          </cell>
          <cell r="DF77">
            <v>2.3199999999999998E-2</v>
          </cell>
          <cell r="DG77">
            <v>2.4469999999999999E-2</v>
          </cell>
          <cell r="DH77">
            <v>2.0029999999999999E-2</v>
          </cell>
          <cell r="DI77">
            <v>3.2599999999999997E-2</v>
          </cell>
          <cell r="DJ77">
            <v>2.9100000000000001E-2</v>
          </cell>
          <cell r="DK77">
            <v>2.8799999999999999E-2</v>
          </cell>
          <cell r="DL77">
            <v>2.53E-2</v>
          </cell>
          <cell r="DM77">
            <v>2.18E-2</v>
          </cell>
          <cell r="DN77">
            <v>1.83E-2</v>
          </cell>
          <cell r="DO77">
            <v>1.9300000000000001E-2</v>
          </cell>
          <cell r="DP77">
            <v>1.5800000000000002E-2</v>
          </cell>
          <cell r="DQ77">
            <v>2.18E-2</v>
          </cell>
          <cell r="DR77">
            <v>1.83E-2</v>
          </cell>
          <cell r="DS77">
            <v>1.9300000000000001E-2</v>
          </cell>
          <cell r="DT77">
            <v>1.5800000000000002E-2</v>
          </cell>
          <cell r="DU77">
            <v>1.12E-2</v>
          </cell>
          <cell r="DV77">
            <v>4.4000000000000003E-3</v>
          </cell>
          <cell r="DW77">
            <v>0.01</v>
          </cell>
          <cell r="DX77">
            <v>2.3E-3</v>
          </cell>
          <cell r="DY77">
            <v>1.23E-2</v>
          </cell>
          <cell r="DZ77">
            <v>6.7999999999999996E-3</v>
          </cell>
          <cell r="EA77">
            <v>9.2999999999999992E-3</v>
          </cell>
          <cell r="EB77">
            <v>3.7000000000000002E-3</v>
          </cell>
          <cell r="EC77">
            <v>8.3000000000000001E-3</v>
          </cell>
          <cell r="ED77">
            <v>1.9E-3</v>
          </cell>
          <cell r="EE77">
            <v>9.2999999999999992E-3</v>
          </cell>
          <cell r="EF77">
            <v>3.7000000000000002E-3</v>
          </cell>
          <cell r="EG77">
            <v>8.3000000000000001E-3</v>
          </cell>
          <cell r="EH77">
            <v>1.9E-3</v>
          </cell>
          <cell r="EI77">
            <v>3.2599999999999997E-2</v>
          </cell>
          <cell r="EJ77">
            <v>2.9100000000000001E-2</v>
          </cell>
          <cell r="EK77">
            <v>2.8799999999999999E-2</v>
          </cell>
          <cell r="EL77">
            <v>2.53E-2</v>
          </cell>
          <cell r="EM77">
            <v>2.18E-2</v>
          </cell>
          <cell r="EN77">
            <v>1.83E-2</v>
          </cell>
          <cell r="EO77">
            <v>1.9300000000000001E-2</v>
          </cell>
          <cell r="EP77">
            <v>1.5800000000000002E-2</v>
          </cell>
          <cell r="EQ77">
            <v>2.18E-2</v>
          </cell>
          <cell r="ER77">
            <v>1.83E-2</v>
          </cell>
          <cell r="ES77">
            <v>1.9300000000000001E-2</v>
          </cell>
          <cell r="ET77">
            <v>1.5800000000000002E-2</v>
          </cell>
          <cell r="EU77">
            <v>1.12E-2</v>
          </cell>
          <cell r="EV77">
            <v>4.4000000000000003E-3</v>
          </cell>
          <cell r="EW77">
            <v>0.01</v>
          </cell>
          <cell r="EX77">
            <v>2.3E-3</v>
          </cell>
          <cell r="EY77">
            <v>1.23E-2</v>
          </cell>
          <cell r="EZ77">
            <v>6.7999999999999996E-3</v>
          </cell>
          <cell r="FA77">
            <v>9.2999999999999992E-3</v>
          </cell>
          <cell r="FB77">
            <v>3.7000000000000002E-3</v>
          </cell>
          <cell r="FC77">
            <v>8.3000000000000001E-3</v>
          </cell>
          <cell r="FD77">
            <v>1.9E-3</v>
          </cell>
          <cell r="FE77">
            <v>9.2999999999999992E-3</v>
          </cell>
          <cell r="FF77">
            <v>3.7000000000000002E-3</v>
          </cell>
          <cell r="FG77">
            <v>8.3000000000000001E-3</v>
          </cell>
          <cell r="FH77">
            <v>1.9E-3</v>
          </cell>
          <cell r="FI77">
            <v>2.76E-2</v>
          </cell>
          <cell r="FJ77">
            <v>2.4E-2</v>
          </cell>
          <cell r="FK77">
            <v>2.47E-2</v>
          </cell>
          <cell r="FL77">
            <v>2.1100000000000001E-2</v>
          </cell>
          <cell r="FM77">
            <v>2.76E-2</v>
          </cell>
          <cell r="FN77">
            <v>2.4E-2</v>
          </cell>
          <cell r="FO77">
            <v>2.47E-2</v>
          </cell>
          <cell r="FP77">
            <v>2.1100000000000001E-2</v>
          </cell>
          <cell r="FQ77">
            <v>4.1599999999999998E-2</v>
          </cell>
          <cell r="FR77">
            <v>3.2280000000000003E-2</v>
          </cell>
          <cell r="FS77">
            <v>3.2559999999999999E-2</v>
          </cell>
          <cell r="FT77">
            <v>2.1850000000000001E-2</v>
          </cell>
          <cell r="FU77">
            <v>4.5769999999999998E-2</v>
          </cell>
          <cell r="FV77">
            <v>3.3529999999999997E-2</v>
          </cell>
          <cell r="FW77">
            <v>3.2840000000000001E-2</v>
          </cell>
          <cell r="FX77">
            <v>2.5489999999999999E-2</v>
          </cell>
          <cell r="FY77">
            <v>2.5739999999999999E-2</v>
          </cell>
          <cell r="FZ77">
            <v>1.7239999999999998E-2</v>
          </cell>
          <cell r="GA77">
            <v>3.2840000000000001E-2</v>
          </cell>
          <cell r="GB77">
            <v>2.5489999999999999E-2</v>
          </cell>
          <cell r="GC77">
            <v>2.5739999999999999E-2</v>
          </cell>
          <cell r="GD77">
            <v>1.7239999999999998E-2</v>
          </cell>
          <cell r="GE77">
            <v>2.18E-2</v>
          </cell>
          <cell r="GF77">
            <v>1.9300000000000001E-2</v>
          </cell>
          <cell r="GG77">
            <v>1.9799999999999998E-2</v>
          </cell>
          <cell r="GH77">
            <v>1.6299999999999999E-2</v>
          </cell>
          <cell r="GI77">
            <v>2.18E-2</v>
          </cell>
          <cell r="GJ77">
            <v>1.9300000000000001E-2</v>
          </cell>
          <cell r="GK77">
            <v>1.9799999999999998E-2</v>
          </cell>
          <cell r="GL77">
            <v>1.6299999999999999E-2</v>
          </cell>
          <cell r="GM77">
            <v>4.1599999999999998E-2</v>
          </cell>
          <cell r="GN77">
            <v>3.2280000000000003E-2</v>
          </cell>
          <cell r="GO77">
            <v>3.2559999999999999E-2</v>
          </cell>
          <cell r="GP77">
            <v>2.1850000000000001E-2</v>
          </cell>
          <cell r="GQ77">
            <v>4.5769999999999998E-2</v>
          </cell>
          <cell r="GR77">
            <v>3.3529999999999997E-2</v>
          </cell>
          <cell r="GS77">
            <v>3.8789999999999998E-2</v>
          </cell>
          <cell r="GT77">
            <v>2.6040000000000001E-2</v>
          </cell>
          <cell r="GU77">
            <v>2.8250000000000001E-2</v>
          </cell>
          <cell r="GV77">
            <v>1.7520000000000001E-2</v>
          </cell>
          <cell r="GW77">
            <v>3.8789999999999998E-2</v>
          </cell>
          <cell r="GX77">
            <v>2.6040000000000001E-2</v>
          </cell>
          <cell r="GY77">
            <v>2.8250000000000001E-2</v>
          </cell>
          <cell r="GZ77">
            <v>1.7520000000000001E-2</v>
          </cell>
          <cell r="HA77">
            <v>2.18E-2</v>
          </cell>
          <cell r="HB77">
            <v>1.9300000000000001E-2</v>
          </cell>
          <cell r="HC77">
            <v>1.9799999999999998E-2</v>
          </cell>
          <cell r="HD77">
            <v>1.6299999999999999E-2</v>
          </cell>
          <cell r="HE77">
            <v>2.18E-2</v>
          </cell>
          <cell r="HF77">
            <v>1.9300000000000001E-2</v>
          </cell>
          <cell r="HG77">
            <v>1.9799999999999998E-2</v>
          </cell>
          <cell r="HH77">
            <v>1.6299999999999999E-2</v>
          </cell>
          <cell r="HI77">
            <v>1.29E-2</v>
          </cell>
          <cell r="HJ77">
            <v>6.1000000000000004E-3</v>
          </cell>
          <cell r="HK77">
            <v>1.0699999999999999E-2</v>
          </cell>
          <cell r="HL77">
            <v>3.2000000000000002E-3</v>
          </cell>
          <cell r="HM77">
            <v>1.4200000000000001E-2</v>
          </cell>
          <cell r="HN77">
            <v>9.2999999999999992E-3</v>
          </cell>
          <cell r="HO77">
            <v>3.2199999999999999E-2</v>
          </cell>
          <cell r="HP77">
            <v>2.3199999999999998E-2</v>
          </cell>
          <cell r="HQ77">
            <v>2.5250000000000002E-2</v>
          </cell>
          <cell r="HR77">
            <v>1.5779999999999999E-2</v>
          </cell>
          <cell r="HS77">
            <v>3.2199999999999999E-2</v>
          </cell>
          <cell r="HT77">
            <v>2.3199999999999998E-2</v>
          </cell>
          <cell r="HU77">
            <v>2.5250000000000002E-2</v>
          </cell>
          <cell r="HV77">
            <v>1.5779999999999999E-2</v>
          </cell>
          <cell r="HW77" t="str">
            <v>%PPL</v>
          </cell>
        </row>
        <row r="78">
          <cell r="AV78" t="str">
            <v>IPR Pluggable Modules 100G /CXP,CFP,CFP2,CFP4</v>
          </cell>
          <cell r="AW78">
            <v>0.83499999999999996</v>
          </cell>
          <cell r="AX78">
            <v>0.68</v>
          </cell>
          <cell r="AY78">
            <v>0.75</v>
          </cell>
          <cell r="AZ78">
            <v>0.85</v>
          </cell>
          <cell r="BA78">
            <v>0.71299999999999997</v>
          </cell>
          <cell r="BB78">
            <v>0.75</v>
          </cell>
          <cell r="BC78">
            <v>0.85</v>
          </cell>
          <cell r="BD78">
            <v>0.71299999999999997</v>
          </cell>
          <cell r="BE78">
            <v>0.75</v>
          </cell>
          <cell r="BF78">
            <v>0.7</v>
          </cell>
          <cell r="BG78">
            <v>0.7</v>
          </cell>
          <cell r="BH78">
            <v>0.75</v>
          </cell>
          <cell r="BI78">
            <v>0.9</v>
          </cell>
          <cell r="BJ78">
            <v>0.6</v>
          </cell>
          <cell r="BK78">
            <v>2.5000000000000001E-2</v>
          </cell>
          <cell r="BL78" t="str">
            <v>%PMP</v>
          </cell>
          <cell r="BM78">
            <v>1.3779928125000002E-2</v>
          </cell>
          <cell r="BN78">
            <v>1.0122413793103449E-2</v>
          </cell>
          <cell r="BO78">
            <v>1.2878437500000001E-2</v>
          </cell>
          <cell r="BP78">
            <v>7.5672413793103459E-3</v>
          </cell>
          <cell r="BQ78">
            <v>1.3779928125000002E-2</v>
          </cell>
          <cell r="BR78">
            <v>1.0122413793103449E-2</v>
          </cell>
          <cell r="BS78">
            <v>1.2878437500000001E-2</v>
          </cell>
          <cell r="BT78">
            <v>7.5672413793103459E-3</v>
          </cell>
          <cell r="BU78">
            <v>1.2878437500000001E-2</v>
          </cell>
          <cell r="BV78">
            <v>5.2517187499999994E-3</v>
          </cell>
          <cell r="BW78">
            <v>1.0732812499999999E-2</v>
          </cell>
          <cell r="BX78">
            <v>2.5035937500000002E-3</v>
          </cell>
          <cell r="BY78">
            <v>1.4166281250000003E-2</v>
          </cell>
          <cell r="BZ78">
            <v>8.0876468749999982E-3</v>
          </cell>
          <cell r="CA78">
            <v>1.0302749999999999E-2</v>
          </cell>
          <cell r="CB78">
            <v>4.2013750000000002E-3</v>
          </cell>
          <cell r="CC78">
            <v>8.5862500000000001E-3</v>
          </cell>
          <cell r="CD78">
            <v>2.0028749999999994E-3</v>
          </cell>
          <cell r="CE78">
            <v>1.0302749999999999E-2</v>
          </cell>
          <cell r="CF78">
            <v>4.2013750000000002E-3</v>
          </cell>
          <cell r="CG78">
            <v>8.5862500000000001E-3</v>
          </cell>
          <cell r="CH78">
            <v>2.0028749999999994E-3</v>
          </cell>
          <cell r="CI78">
            <v>1.2918243750000001E-2</v>
          </cell>
          <cell r="CJ78">
            <v>9.5789342034462103E-3</v>
          </cell>
          <cell r="CK78">
            <v>1.2073125000000001E-2</v>
          </cell>
          <cell r="CL78">
            <v>8.1543747578054927E-3</v>
          </cell>
          <cell r="CM78">
            <v>1.2918243750000001E-2</v>
          </cell>
          <cell r="CN78">
            <v>9.5789342034462103E-3</v>
          </cell>
          <cell r="CO78">
            <v>1.2073125000000001E-2</v>
          </cell>
          <cell r="CP78">
            <v>8.1543747578054927E-3</v>
          </cell>
          <cell r="CQ78">
            <v>1.2073125000000001E-2</v>
          </cell>
          <cell r="CR78">
            <v>4.8415625000000004E-3</v>
          </cell>
          <cell r="CS78">
            <v>1.0873749999999998E-2</v>
          </cell>
          <cell r="CT78">
            <v>2.5481249999999996E-3</v>
          </cell>
          <cell r="CU78">
            <v>8.5250000000000013E-3</v>
          </cell>
          <cell r="CV78">
            <v>4.2349999999999992E-3</v>
          </cell>
          <cell r="CW78">
            <v>9.6624999999999992E-3</v>
          </cell>
          <cell r="CX78">
            <v>3.8812500000000002E-3</v>
          </cell>
          <cell r="CY78">
            <v>8.6949999999999996E-3</v>
          </cell>
          <cell r="CZ78">
            <v>2.0384999999999999E-3</v>
          </cell>
          <cell r="DA78">
            <v>9.6624999999999992E-3</v>
          </cell>
          <cell r="DB78">
            <v>3.8812500000000002E-3</v>
          </cell>
          <cell r="DC78">
            <v>8.6949999999999996E-3</v>
          </cell>
          <cell r="DD78">
            <v>2.0384999999999999E-3</v>
          </cell>
          <cell r="DE78">
            <v>1.12E-2</v>
          </cell>
          <cell r="DF78">
            <v>4.4000000000000003E-3</v>
          </cell>
          <cell r="DG78">
            <v>9.1199999999999996E-3</v>
          </cell>
          <cell r="DH78">
            <v>4.1000000000000003E-3</v>
          </cell>
          <cell r="DI78">
            <v>1.1984E-2</v>
          </cell>
          <cell r="DJ78">
            <v>1.0699999999999999E-2</v>
          </cell>
          <cell r="DK78">
            <v>1.12E-2</v>
          </cell>
          <cell r="DL78">
            <v>9.8399999999999998E-3</v>
          </cell>
          <cell r="DM78">
            <v>1.1984E-2</v>
          </cell>
          <cell r="DN78">
            <v>1.0059999999999999E-2</v>
          </cell>
          <cell r="DO78">
            <v>1.12E-2</v>
          </cell>
          <cell r="DP78">
            <v>9.1699999999999993E-3</v>
          </cell>
          <cell r="DQ78">
            <v>1.1984E-2</v>
          </cell>
          <cell r="DR78">
            <v>1.0699999999999999E-2</v>
          </cell>
          <cell r="DS78">
            <v>1.12E-2</v>
          </cell>
          <cell r="DT78">
            <v>9.8399999999999998E-3</v>
          </cell>
          <cell r="DU78">
            <v>1.12E-2</v>
          </cell>
          <cell r="DV78">
            <v>4.4000000000000003E-3</v>
          </cell>
          <cell r="DW78">
            <v>0.01</v>
          </cell>
          <cell r="DX78">
            <v>2.3E-3</v>
          </cell>
          <cell r="DY78">
            <v>1.23E-2</v>
          </cell>
          <cell r="DZ78">
            <v>6.7999999999999996E-3</v>
          </cell>
          <cell r="EA78">
            <v>9.2999999999999992E-3</v>
          </cell>
          <cell r="EB78">
            <v>3.7000000000000002E-3</v>
          </cell>
          <cell r="EC78">
            <v>8.3000000000000001E-3</v>
          </cell>
          <cell r="ED78">
            <v>1.9E-3</v>
          </cell>
          <cell r="EE78">
            <v>9.2999999999999992E-3</v>
          </cell>
          <cell r="EF78">
            <v>3.7000000000000002E-3</v>
          </cell>
          <cell r="EG78">
            <v>8.3000000000000001E-3</v>
          </cell>
          <cell r="EH78">
            <v>1.9E-3</v>
          </cell>
          <cell r="EI78">
            <v>1.1984E-2</v>
          </cell>
          <cell r="EJ78">
            <v>1.0699999999999999E-2</v>
          </cell>
          <cell r="EK78">
            <v>1.12E-2</v>
          </cell>
          <cell r="EL78">
            <v>9.8399999999999998E-3</v>
          </cell>
          <cell r="EM78">
            <v>1.1984E-2</v>
          </cell>
          <cell r="EN78">
            <v>1.0059999999999999E-2</v>
          </cell>
          <cell r="EO78">
            <v>1.12E-2</v>
          </cell>
          <cell r="EP78">
            <v>9.1699999999999993E-3</v>
          </cell>
          <cell r="EQ78">
            <v>1.1984E-2</v>
          </cell>
          <cell r="ER78">
            <v>1.0699999999999999E-2</v>
          </cell>
          <cell r="ES78">
            <v>1.12E-2</v>
          </cell>
          <cell r="ET78">
            <v>9.8399999999999998E-3</v>
          </cell>
          <cell r="EU78">
            <v>1.12E-2</v>
          </cell>
          <cell r="EV78">
            <v>4.4000000000000003E-3</v>
          </cell>
          <cell r="EW78">
            <v>0.01</v>
          </cell>
          <cell r="EX78">
            <v>2.3E-3</v>
          </cell>
          <cell r="EY78">
            <v>1.23E-2</v>
          </cell>
          <cell r="EZ78">
            <v>6.7999999999999996E-3</v>
          </cell>
          <cell r="FA78">
            <v>9.2999999999999992E-3</v>
          </cell>
          <cell r="FB78">
            <v>3.7000000000000002E-3</v>
          </cell>
          <cell r="FC78">
            <v>8.3000000000000001E-3</v>
          </cell>
          <cell r="FD78">
            <v>1.9E-3</v>
          </cell>
          <cell r="FE78">
            <v>9.2999999999999992E-3</v>
          </cell>
          <cell r="FF78">
            <v>3.7000000000000002E-3</v>
          </cell>
          <cell r="FG78">
            <v>8.3000000000000001E-3</v>
          </cell>
          <cell r="FH78">
            <v>1.9E-3</v>
          </cell>
          <cell r="FI78">
            <v>2.76E-2</v>
          </cell>
          <cell r="FJ78">
            <v>2.4E-2</v>
          </cell>
          <cell r="FK78">
            <v>2.47E-2</v>
          </cell>
          <cell r="FL78">
            <v>2.1100000000000001E-2</v>
          </cell>
          <cell r="FM78">
            <v>2.76E-2</v>
          </cell>
          <cell r="FN78">
            <v>2.4E-2</v>
          </cell>
          <cell r="FO78">
            <v>2.47E-2</v>
          </cell>
          <cell r="FP78">
            <v>2.1100000000000001E-2</v>
          </cell>
          <cell r="FQ78">
            <v>1.2800000000000001E-2</v>
          </cell>
          <cell r="FR78">
            <v>7.4000000000000003E-3</v>
          </cell>
          <cell r="FS78">
            <v>1.0699999999999999E-2</v>
          </cell>
          <cell r="FT78">
            <v>3.8E-3</v>
          </cell>
          <cell r="FU78">
            <v>1.41E-2</v>
          </cell>
          <cell r="FV78">
            <v>1.14E-2</v>
          </cell>
          <cell r="FW78">
            <v>1.11E-2</v>
          </cell>
          <cell r="FX78">
            <v>6.4000000000000003E-3</v>
          </cell>
          <cell r="FY78">
            <v>9.2999999999999992E-3</v>
          </cell>
          <cell r="FZ78">
            <v>3.3E-3</v>
          </cell>
          <cell r="GA78">
            <v>1.11E-2</v>
          </cell>
          <cell r="GB78">
            <v>6.4000000000000003E-3</v>
          </cell>
          <cell r="GC78">
            <v>9.2999999999999992E-3</v>
          </cell>
          <cell r="GD78">
            <v>3.3E-3</v>
          </cell>
          <cell r="GE78">
            <v>2.18E-2</v>
          </cell>
          <cell r="GF78">
            <v>1.9300000000000001E-2</v>
          </cell>
          <cell r="GG78">
            <v>1.9799999999999998E-2</v>
          </cell>
          <cell r="GH78">
            <v>1.6299999999999999E-2</v>
          </cell>
          <cell r="GI78">
            <v>2.18E-2</v>
          </cell>
          <cell r="GJ78">
            <v>1.9300000000000001E-2</v>
          </cell>
          <cell r="GK78">
            <v>1.9799999999999998E-2</v>
          </cell>
          <cell r="GL78">
            <v>1.6299999999999999E-2</v>
          </cell>
          <cell r="GM78">
            <v>1.2800000000000001E-2</v>
          </cell>
          <cell r="GN78">
            <v>5.4000000000000003E-3</v>
          </cell>
          <cell r="GO78">
            <v>1.0699999999999999E-2</v>
          </cell>
          <cell r="GP78">
            <v>2.8999999999999998E-3</v>
          </cell>
          <cell r="GQ78">
            <v>1.41E-2</v>
          </cell>
          <cell r="GR78">
            <v>8.3999999999999995E-3</v>
          </cell>
          <cell r="GS78">
            <v>1.11E-2</v>
          </cell>
          <cell r="GT78">
            <v>4.7000000000000002E-3</v>
          </cell>
          <cell r="GU78">
            <v>9.2999999999999992E-3</v>
          </cell>
          <cell r="GV78">
            <v>2.5000000000000001E-3</v>
          </cell>
          <cell r="GW78">
            <v>1.11E-2</v>
          </cell>
          <cell r="GX78">
            <v>4.7000000000000002E-3</v>
          </cell>
          <cell r="GY78">
            <v>9.2999999999999992E-3</v>
          </cell>
          <cell r="GZ78">
            <v>2.5000000000000001E-3</v>
          </cell>
          <cell r="HA78">
            <v>2.18E-2</v>
          </cell>
          <cell r="HB78">
            <v>1.9300000000000001E-2</v>
          </cell>
          <cell r="HC78">
            <v>1.9799999999999998E-2</v>
          </cell>
          <cell r="HD78">
            <v>1.6299999999999999E-2</v>
          </cell>
          <cell r="HE78">
            <v>2.18E-2</v>
          </cell>
          <cell r="HF78">
            <v>1.9300000000000001E-2</v>
          </cell>
          <cell r="HG78">
            <v>1.9799999999999998E-2</v>
          </cell>
          <cell r="HH78">
            <v>1.6299999999999999E-2</v>
          </cell>
          <cell r="HI78">
            <v>1.29E-2</v>
          </cell>
          <cell r="HJ78">
            <v>6.1000000000000004E-3</v>
          </cell>
          <cell r="HK78">
            <v>1.0699999999999999E-2</v>
          </cell>
          <cell r="HL78">
            <v>3.2000000000000002E-3</v>
          </cell>
          <cell r="HM78">
            <v>1.4200000000000001E-2</v>
          </cell>
          <cell r="HN78">
            <v>9.2999999999999992E-3</v>
          </cell>
          <cell r="HO78">
            <v>1.12E-2</v>
          </cell>
          <cell r="HP78">
            <v>5.3E-3</v>
          </cell>
          <cell r="HQ78">
            <v>9.2999999999999992E-3</v>
          </cell>
          <cell r="HR78">
            <v>2.8000000000000001E-2</v>
          </cell>
          <cell r="HS78">
            <v>1.12E-2</v>
          </cell>
          <cell r="HT78">
            <v>5.3E-3</v>
          </cell>
          <cell r="HU78">
            <v>9.2999999999999992E-3</v>
          </cell>
          <cell r="HV78">
            <v>2.8000000000000001E-2</v>
          </cell>
          <cell r="HW78" t="str">
            <v>%PPL</v>
          </cell>
        </row>
        <row r="79">
          <cell r="AV79" t="str">
            <v>IPR Pluggable Modules 100G /QSFP28</v>
          </cell>
          <cell r="AW79">
            <v>0.83499999999999996</v>
          </cell>
          <cell r="AX79">
            <v>0.63</v>
          </cell>
          <cell r="AY79">
            <v>0.7</v>
          </cell>
          <cell r="AZ79">
            <v>0.79999999999999993</v>
          </cell>
          <cell r="BA79">
            <v>0.66299999999999992</v>
          </cell>
          <cell r="BB79">
            <v>0.7</v>
          </cell>
          <cell r="BC79">
            <v>0.79999999999999993</v>
          </cell>
          <cell r="BD79">
            <v>0.66299999999999992</v>
          </cell>
          <cell r="BE79">
            <v>0.7</v>
          </cell>
          <cell r="BF79">
            <v>0.64999999999999991</v>
          </cell>
          <cell r="BG79">
            <v>0.64999999999999991</v>
          </cell>
          <cell r="BH79">
            <v>0.7</v>
          </cell>
          <cell r="BI79">
            <v>0.9</v>
          </cell>
          <cell r="BJ79">
            <v>0.54999999999999993</v>
          </cell>
          <cell r="BK79">
            <v>2.5000000000000001E-2</v>
          </cell>
          <cell r="BL79" t="str">
            <v>%PMP</v>
          </cell>
          <cell r="BM79">
            <v>1.3779928125000002E-2</v>
          </cell>
          <cell r="BN79">
            <v>1.0122413793103449E-2</v>
          </cell>
          <cell r="BO79">
            <v>1.2878437500000001E-2</v>
          </cell>
          <cell r="BP79">
            <v>7.5672413793103459E-3</v>
          </cell>
          <cell r="BQ79">
            <v>1.3779928125000002E-2</v>
          </cell>
          <cell r="BR79">
            <v>1.0122413793103449E-2</v>
          </cell>
          <cell r="BS79">
            <v>1.2878437500000001E-2</v>
          </cell>
          <cell r="BT79">
            <v>7.5672413793103459E-3</v>
          </cell>
          <cell r="BU79">
            <v>1.2878437500000001E-2</v>
          </cell>
          <cell r="BV79">
            <v>5.2517187499999994E-3</v>
          </cell>
          <cell r="BW79">
            <v>1.0732812499999999E-2</v>
          </cell>
          <cell r="BX79">
            <v>2.5035937500000002E-3</v>
          </cell>
          <cell r="BY79">
            <v>1.4166281250000003E-2</v>
          </cell>
          <cell r="BZ79">
            <v>8.0876468749999982E-3</v>
          </cell>
          <cell r="CA79">
            <v>1.0302749999999999E-2</v>
          </cell>
          <cell r="CB79">
            <v>4.2013750000000002E-3</v>
          </cell>
          <cell r="CC79">
            <v>8.5862500000000001E-3</v>
          </cell>
          <cell r="CD79">
            <v>2.0028749999999994E-3</v>
          </cell>
          <cell r="CE79">
            <v>1.0302749999999999E-2</v>
          </cell>
          <cell r="CF79">
            <v>4.2013750000000002E-3</v>
          </cell>
          <cell r="CG79">
            <v>8.5862500000000001E-3</v>
          </cell>
          <cell r="CH79">
            <v>2.0028749999999994E-3</v>
          </cell>
          <cell r="CI79">
            <v>1.2918243750000001E-2</v>
          </cell>
          <cell r="CJ79">
            <v>9.5789342034462103E-3</v>
          </cell>
          <cell r="CK79">
            <v>1.2073125000000001E-2</v>
          </cell>
          <cell r="CL79">
            <v>8.1543747578054927E-3</v>
          </cell>
          <cell r="CM79">
            <v>1.2918243750000001E-2</v>
          </cell>
          <cell r="CN79">
            <v>9.5789342034462103E-3</v>
          </cell>
          <cell r="CO79">
            <v>1.2073125000000001E-2</v>
          </cell>
          <cell r="CP79">
            <v>8.1543747578054927E-3</v>
          </cell>
          <cell r="CQ79">
            <v>1.2073125000000001E-2</v>
          </cell>
          <cell r="CR79">
            <v>4.8415625000000004E-3</v>
          </cell>
          <cell r="CS79">
            <v>1.0873749999999998E-2</v>
          </cell>
          <cell r="CT79">
            <v>2.5481249999999996E-3</v>
          </cell>
          <cell r="CU79">
            <v>8.5250000000000013E-3</v>
          </cell>
          <cell r="CV79">
            <v>4.2349999999999992E-3</v>
          </cell>
          <cell r="CW79">
            <v>9.6624999999999992E-3</v>
          </cell>
          <cell r="CX79">
            <v>3.8812500000000002E-3</v>
          </cell>
          <cell r="CY79">
            <v>8.6949999999999996E-3</v>
          </cell>
          <cell r="CZ79">
            <v>2.0384999999999999E-3</v>
          </cell>
          <cell r="DA79">
            <v>9.6624999999999992E-3</v>
          </cell>
          <cell r="DB79">
            <v>3.8812500000000002E-3</v>
          </cell>
          <cell r="DC79">
            <v>8.6949999999999996E-3</v>
          </cell>
          <cell r="DD79">
            <v>2.0384999999999999E-3</v>
          </cell>
          <cell r="DE79">
            <v>1.12E-2</v>
          </cell>
          <cell r="DF79">
            <v>4.4000000000000003E-3</v>
          </cell>
          <cell r="DG79">
            <v>9.1199999999999996E-3</v>
          </cell>
          <cell r="DH79">
            <v>4.1000000000000003E-3</v>
          </cell>
          <cell r="DI79">
            <v>1.1984E-2</v>
          </cell>
          <cell r="DJ79">
            <v>1.0699999999999999E-2</v>
          </cell>
          <cell r="DK79">
            <v>1.12E-2</v>
          </cell>
          <cell r="DL79">
            <v>9.8399999999999998E-3</v>
          </cell>
          <cell r="DM79">
            <v>1.1984E-2</v>
          </cell>
          <cell r="DN79">
            <v>1.0059999999999999E-2</v>
          </cell>
          <cell r="DO79">
            <v>1.12E-2</v>
          </cell>
          <cell r="DP79">
            <v>9.1699999999999993E-3</v>
          </cell>
          <cell r="DQ79">
            <v>1.1984E-2</v>
          </cell>
          <cell r="DR79">
            <v>1.0699999999999999E-2</v>
          </cell>
          <cell r="DS79">
            <v>1.12E-2</v>
          </cell>
          <cell r="DT79">
            <v>9.8399999999999998E-3</v>
          </cell>
          <cell r="DU79">
            <v>1.12E-2</v>
          </cell>
          <cell r="DV79">
            <v>4.4000000000000003E-3</v>
          </cell>
          <cell r="DW79">
            <v>0.01</v>
          </cell>
          <cell r="DX79">
            <v>2.3E-3</v>
          </cell>
          <cell r="DY79">
            <v>1.23E-2</v>
          </cell>
          <cell r="DZ79">
            <v>6.7999999999999996E-3</v>
          </cell>
          <cell r="EA79">
            <v>9.2999999999999992E-3</v>
          </cell>
          <cell r="EB79">
            <v>3.7000000000000002E-3</v>
          </cell>
          <cell r="EC79">
            <v>8.3000000000000001E-3</v>
          </cell>
          <cell r="ED79">
            <v>1.9E-3</v>
          </cell>
          <cell r="EE79">
            <v>9.2999999999999992E-3</v>
          </cell>
          <cell r="EF79">
            <v>3.7000000000000002E-3</v>
          </cell>
          <cell r="EG79">
            <v>8.3000000000000001E-3</v>
          </cell>
          <cell r="EH79">
            <v>1.9E-3</v>
          </cell>
          <cell r="EI79">
            <v>1.1984E-2</v>
          </cell>
          <cell r="EJ79">
            <v>1.0699999999999999E-2</v>
          </cell>
          <cell r="EK79">
            <v>1.12E-2</v>
          </cell>
          <cell r="EL79">
            <v>9.8399999999999998E-3</v>
          </cell>
          <cell r="EM79">
            <v>1.1984E-2</v>
          </cell>
          <cell r="EN79">
            <v>1.0059999999999999E-2</v>
          </cell>
          <cell r="EO79">
            <v>1.12E-2</v>
          </cell>
          <cell r="EP79">
            <v>9.1699999999999993E-3</v>
          </cell>
          <cell r="EQ79">
            <v>1.1984E-2</v>
          </cell>
          <cell r="ER79">
            <v>1.0699999999999999E-2</v>
          </cell>
          <cell r="ES79">
            <v>1.12E-2</v>
          </cell>
          <cell r="ET79">
            <v>9.8399999999999998E-3</v>
          </cell>
          <cell r="EU79">
            <v>1.12E-2</v>
          </cell>
          <cell r="EV79">
            <v>4.4000000000000003E-3</v>
          </cell>
          <cell r="EW79">
            <v>0.01</v>
          </cell>
          <cell r="EX79">
            <v>2.3E-3</v>
          </cell>
          <cell r="EY79">
            <v>1.23E-2</v>
          </cell>
          <cell r="EZ79">
            <v>6.7999999999999996E-3</v>
          </cell>
          <cell r="FA79">
            <v>9.2999999999999992E-3</v>
          </cell>
          <cell r="FB79">
            <v>3.7000000000000002E-3</v>
          </cell>
          <cell r="FC79">
            <v>8.3000000000000001E-3</v>
          </cell>
          <cell r="FD79">
            <v>1.9E-3</v>
          </cell>
          <cell r="FE79">
            <v>9.2999999999999992E-3</v>
          </cell>
          <cell r="FF79">
            <v>3.7000000000000002E-3</v>
          </cell>
          <cell r="FG79">
            <v>8.3000000000000001E-3</v>
          </cell>
          <cell r="FH79">
            <v>1.9E-3</v>
          </cell>
          <cell r="FI79">
            <v>2.76E-2</v>
          </cell>
          <cell r="FJ79">
            <v>2.4E-2</v>
          </cell>
          <cell r="FK79">
            <v>2.47E-2</v>
          </cell>
          <cell r="FL79">
            <v>2.1100000000000001E-2</v>
          </cell>
          <cell r="FM79">
            <v>2.76E-2</v>
          </cell>
          <cell r="FN79">
            <v>2.4E-2</v>
          </cell>
          <cell r="FO79">
            <v>2.47E-2</v>
          </cell>
          <cell r="FP79">
            <v>2.1100000000000001E-2</v>
          </cell>
          <cell r="FQ79">
            <v>1.2800000000000001E-2</v>
          </cell>
          <cell r="FR79">
            <v>7.4000000000000003E-3</v>
          </cell>
          <cell r="FS79">
            <v>1.0699999999999999E-2</v>
          </cell>
          <cell r="FT79">
            <v>3.8E-3</v>
          </cell>
          <cell r="FU79">
            <v>1.41E-2</v>
          </cell>
          <cell r="FV79">
            <v>1.14E-2</v>
          </cell>
          <cell r="FW79">
            <v>1.11E-2</v>
          </cell>
          <cell r="FX79">
            <v>6.4000000000000003E-3</v>
          </cell>
          <cell r="FY79">
            <v>9.2999999999999992E-3</v>
          </cell>
          <cell r="FZ79">
            <v>3.3E-3</v>
          </cell>
          <cell r="GA79">
            <v>1.11E-2</v>
          </cell>
          <cell r="GB79">
            <v>6.4000000000000003E-3</v>
          </cell>
          <cell r="GC79">
            <v>9.2999999999999992E-3</v>
          </cell>
          <cell r="GD79">
            <v>3.3E-3</v>
          </cell>
          <cell r="GE79">
            <v>2.18E-2</v>
          </cell>
          <cell r="GF79">
            <v>1.9300000000000001E-2</v>
          </cell>
          <cell r="GG79">
            <v>1.9799999999999998E-2</v>
          </cell>
          <cell r="GH79">
            <v>1.6299999999999999E-2</v>
          </cell>
          <cell r="GI79">
            <v>2.18E-2</v>
          </cell>
          <cell r="GJ79">
            <v>1.9300000000000001E-2</v>
          </cell>
          <cell r="GK79">
            <v>1.9799999999999998E-2</v>
          </cell>
          <cell r="GL79">
            <v>1.6299999999999999E-2</v>
          </cell>
          <cell r="GM79">
            <v>1.2800000000000001E-2</v>
          </cell>
          <cell r="GN79">
            <v>5.4000000000000003E-3</v>
          </cell>
          <cell r="GO79">
            <v>1.0699999999999999E-2</v>
          </cell>
          <cell r="GP79">
            <v>2.8999999999999998E-3</v>
          </cell>
          <cell r="GQ79">
            <v>1.41E-2</v>
          </cell>
          <cell r="GR79">
            <v>8.3999999999999995E-3</v>
          </cell>
          <cell r="GS79">
            <v>1.11E-2</v>
          </cell>
          <cell r="GT79">
            <v>4.7000000000000002E-3</v>
          </cell>
          <cell r="GU79">
            <v>9.2999999999999992E-3</v>
          </cell>
          <cell r="GV79">
            <v>2.5000000000000001E-3</v>
          </cell>
          <cell r="GW79">
            <v>1.11E-2</v>
          </cell>
          <cell r="GX79">
            <v>4.7000000000000002E-3</v>
          </cell>
          <cell r="GY79">
            <v>9.2999999999999992E-3</v>
          </cell>
          <cell r="GZ79">
            <v>2.5000000000000001E-3</v>
          </cell>
          <cell r="HA79">
            <v>2.18E-2</v>
          </cell>
          <cell r="HB79">
            <v>1.9300000000000001E-2</v>
          </cell>
          <cell r="HC79">
            <v>1.9799999999999998E-2</v>
          </cell>
          <cell r="HD79">
            <v>1.6299999999999999E-2</v>
          </cell>
          <cell r="HE79">
            <v>2.18E-2</v>
          </cell>
          <cell r="HF79">
            <v>1.9300000000000001E-2</v>
          </cell>
          <cell r="HG79">
            <v>1.9799999999999998E-2</v>
          </cell>
          <cell r="HH79">
            <v>1.6299999999999999E-2</v>
          </cell>
          <cell r="HI79">
            <v>1.29E-2</v>
          </cell>
          <cell r="HJ79">
            <v>6.1000000000000004E-3</v>
          </cell>
          <cell r="HK79">
            <v>1.0699999999999999E-2</v>
          </cell>
          <cell r="HL79">
            <v>3.2000000000000002E-3</v>
          </cell>
          <cell r="HM79">
            <v>1.4200000000000001E-2</v>
          </cell>
          <cell r="HN79">
            <v>9.2999999999999992E-3</v>
          </cell>
          <cell r="HO79">
            <v>1.12E-2</v>
          </cell>
          <cell r="HP79">
            <v>5.3E-3</v>
          </cell>
          <cell r="HQ79">
            <v>9.2999999999999992E-3</v>
          </cell>
          <cell r="HR79">
            <v>2.8000000000000001E-2</v>
          </cell>
          <cell r="HS79">
            <v>1.12E-2</v>
          </cell>
          <cell r="HT79">
            <v>5.3E-3</v>
          </cell>
          <cell r="HU79">
            <v>9.2999999999999992E-3</v>
          </cell>
          <cell r="HV79">
            <v>2.8000000000000001E-2</v>
          </cell>
          <cell r="HW79" t="str">
            <v>%PPL</v>
          </cell>
        </row>
        <row r="80">
          <cell r="AV80" t="str">
            <v>IPR Pluggable Modules 10G /XFP,SFP+</v>
          </cell>
          <cell r="AW80">
            <v>0.83499999999999996</v>
          </cell>
          <cell r="AX80">
            <v>0.68</v>
          </cell>
          <cell r="AY80">
            <v>0.75</v>
          </cell>
          <cell r="AZ80">
            <v>0.85</v>
          </cell>
          <cell r="BA80">
            <v>0.71299999999999997</v>
          </cell>
          <cell r="BB80">
            <v>0.75</v>
          </cell>
          <cell r="BC80">
            <v>0.85</v>
          </cell>
          <cell r="BD80">
            <v>0.71299999999999997</v>
          </cell>
          <cell r="BE80">
            <v>0.75</v>
          </cell>
          <cell r="BF80">
            <v>0.7</v>
          </cell>
          <cell r="BG80">
            <v>0.7</v>
          </cell>
          <cell r="BH80">
            <v>0.75</v>
          </cell>
          <cell r="BI80">
            <v>0.88</v>
          </cell>
          <cell r="BJ80">
            <v>0.6</v>
          </cell>
          <cell r="BK80">
            <v>2.5000000000000001E-2</v>
          </cell>
          <cell r="BL80" t="str">
            <v>%PMP</v>
          </cell>
          <cell r="BM80">
            <v>1.3779928125000002E-2</v>
          </cell>
          <cell r="BN80">
            <v>1.0122413793103449E-2</v>
          </cell>
          <cell r="BO80">
            <v>1.2878437500000001E-2</v>
          </cell>
          <cell r="BP80">
            <v>7.5672413793103459E-3</v>
          </cell>
          <cell r="BQ80">
            <v>1.3779928125000002E-2</v>
          </cell>
          <cell r="BR80">
            <v>1.0122413793103449E-2</v>
          </cell>
          <cell r="BS80">
            <v>1.2878437500000001E-2</v>
          </cell>
          <cell r="BT80">
            <v>7.5672413793103459E-3</v>
          </cell>
          <cell r="BU80">
            <v>1.2878437500000001E-2</v>
          </cell>
          <cell r="BV80">
            <v>5.2517187499999994E-3</v>
          </cell>
          <cell r="BW80">
            <v>1.0732812499999999E-2</v>
          </cell>
          <cell r="BX80">
            <v>2.5035937500000002E-3</v>
          </cell>
          <cell r="BY80">
            <v>1.4166281250000003E-2</v>
          </cell>
          <cell r="BZ80">
            <v>8.0876468749999982E-3</v>
          </cell>
          <cell r="CA80">
            <v>1.0302749999999999E-2</v>
          </cell>
          <cell r="CB80">
            <v>4.2013750000000002E-3</v>
          </cell>
          <cell r="CC80">
            <v>8.5862500000000001E-3</v>
          </cell>
          <cell r="CD80">
            <v>2.0028749999999994E-3</v>
          </cell>
          <cell r="CE80">
            <v>1.0302749999999999E-2</v>
          </cell>
          <cell r="CF80">
            <v>4.2013750000000002E-3</v>
          </cell>
          <cell r="CG80">
            <v>8.5862500000000001E-3</v>
          </cell>
          <cell r="CH80">
            <v>2.0028749999999994E-3</v>
          </cell>
          <cell r="CI80">
            <v>1.2918243750000001E-2</v>
          </cell>
          <cell r="CJ80">
            <v>9.5789342034462103E-3</v>
          </cell>
          <cell r="CK80">
            <v>1.2073125000000001E-2</v>
          </cell>
          <cell r="CL80">
            <v>8.1543747578054927E-3</v>
          </cell>
          <cell r="CM80">
            <v>1.2918243750000001E-2</v>
          </cell>
          <cell r="CN80">
            <v>9.5789342034462103E-3</v>
          </cell>
          <cell r="CO80">
            <v>1.2073125000000001E-2</v>
          </cell>
          <cell r="CP80">
            <v>8.1543747578054927E-3</v>
          </cell>
          <cell r="CQ80">
            <v>1.2073125000000001E-2</v>
          </cell>
          <cell r="CR80">
            <v>4.8415625000000004E-3</v>
          </cell>
          <cell r="CS80">
            <v>1.0873749999999998E-2</v>
          </cell>
          <cell r="CT80">
            <v>2.5481249999999996E-3</v>
          </cell>
          <cell r="CU80">
            <v>8.5250000000000013E-3</v>
          </cell>
          <cell r="CV80">
            <v>4.2349999999999992E-3</v>
          </cell>
          <cell r="CW80">
            <v>9.6624999999999992E-3</v>
          </cell>
          <cell r="CX80">
            <v>3.8812500000000002E-3</v>
          </cell>
          <cell r="CY80">
            <v>8.6949999999999996E-3</v>
          </cell>
          <cell r="CZ80">
            <v>2.0384999999999999E-3</v>
          </cell>
          <cell r="DA80">
            <v>9.6624999999999992E-3</v>
          </cell>
          <cell r="DB80">
            <v>3.8812500000000002E-3</v>
          </cell>
          <cell r="DC80">
            <v>8.6949999999999996E-3</v>
          </cell>
          <cell r="DD80">
            <v>2.0384999999999999E-3</v>
          </cell>
          <cell r="DE80">
            <v>1.12E-2</v>
          </cell>
          <cell r="DF80">
            <v>4.4000000000000003E-3</v>
          </cell>
          <cell r="DG80">
            <v>9.1199999999999996E-3</v>
          </cell>
          <cell r="DH80">
            <v>4.1000000000000003E-3</v>
          </cell>
          <cell r="DI80">
            <v>1.1984E-2</v>
          </cell>
          <cell r="DJ80">
            <v>1.0699999999999999E-2</v>
          </cell>
          <cell r="DK80">
            <v>1.12E-2</v>
          </cell>
          <cell r="DL80">
            <v>9.8399999999999998E-3</v>
          </cell>
          <cell r="DM80">
            <v>1.1984E-2</v>
          </cell>
          <cell r="DN80">
            <v>1.0059999999999999E-2</v>
          </cell>
          <cell r="DO80">
            <v>1.12E-2</v>
          </cell>
          <cell r="DP80">
            <v>9.1699999999999993E-3</v>
          </cell>
          <cell r="DQ80">
            <v>1.1984E-2</v>
          </cell>
          <cell r="DR80">
            <v>1.0699999999999999E-2</v>
          </cell>
          <cell r="DS80">
            <v>1.12E-2</v>
          </cell>
          <cell r="DT80">
            <v>9.8399999999999998E-3</v>
          </cell>
          <cell r="DU80">
            <v>1.12E-2</v>
          </cell>
          <cell r="DV80">
            <v>4.4000000000000003E-3</v>
          </cell>
          <cell r="DW80">
            <v>0.01</v>
          </cell>
          <cell r="DX80">
            <v>2.3E-3</v>
          </cell>
          <cell r="DY80">
            <v>1.23E-2</v>
          </cell>
          <cell r="DZ80">
            <v>6.7999999999999996E-3</v>
          </cell>
          <cell r="EA80">
            <v>9.2999999999999992E-3</v>
          </cell>
          <cell r="EB80">
            <v>3.7000000000000002E-3</v>
          </cell>
          <cell r="EC80">
            <v>8.3000000000000001E-3</v>
          </cell>
          <cell r="ED80">
            <v>1.9E-3</v>
          </cell>
          <cell r="EE80">
            <v>9.2999999999999992E-3</v>
          </cell>
          <cell r="EF80">
            <v>3.7000000000000002E-3</v>
          </cell>
          <cell r="EG80">
            <v>8.3000000000000001E-3</v>
          </cell>
          <cell r="EH80">
            <v>1.9E-3</v>
          </cell>
          <cell r="EI80">
            <v>1.1984E-2</v>
          </cell>
          <cell r="EJ80">
            <v>1.0699999999999999E-2</v>
          </cell>
          <cell r="EK80">
            <v>1.12E-2</v>
          </cell>
          <cell r="EL80">
            <v>9.8399999999999998E-3</v>
          </cell>
          <cell r="EM80">
            <v>1.1984E-2</v>
          </cell>
          <cell r="EN80">
            <v>1.0059999999999999E-2</v>
          </cell>
          <cell r="EO80">
            <v>1.12E-2</v>
          </cell>
          <cell r="EP80">
            <v>9.1699999999999993E-3</v>
          </cell>
          <cell r="EQ80">
            <v>1.1984E-2</v>
          </cell>
          <cell r="ER80">
            <v>1.0699999999999999E-2</v>
          </cell>
          <cell r="ES80">
            <v>1.12E-2</v>
          </cell>
          <cell r="ET80">
            <v>9.8399999999999998E-3</v>
          </cell>
          <cell r="EU80">
            <v>1.12E-2</v>
          </cell>
          <cell r="EV80">
            <v>4.4000000000000003E-3</v>
          </cell>
          <cell r="EW80">
            <v>0.01</v>
          </cell>
          <cell r="EX80">
            <v>2.3E-3</v>
          </cell>
          <cell r="EY80">
            <v>1.23E-2</v>
          </cell>
          <cell r="EZ80">
            <v>6.7999999999999996E-3</v>
          </cell>
          <cell r="FA80">
            <v>9.2999999999999992E-3</v>
          </cell>
          <cell r="FB80">
            <v>3.7000000000000002E-3</v>
          </cell>
          <cell r="FC80">
            <v>8.3000000000000001E-3</v>
          </cell>
          <cell r="FD80">
            <v>1.9E-3</v>
          </cell>
          <cell r="FE80">
            <v>9.2999999999999992E-3</v>
          </cell>
          <cell r="FF80">
            <v>3.7000000000000002E-3</v>
          </cell>
          <cell r="FG80">
            <v>8.3000000000000001E-3</v>
          </cell>
          <cell r="FH80">
            <v>1.9E-3</v>
          </cell>
          <cell r="FI80">
            <v>2.76E-2</v>
          </cell>
          <cell r="FJ80">
            <v>2.4E-2</v>
          </cell>
          <cell r="FK80">
            <v>2.47E-2</v>
          </cell>
          <cell r="FL80">
            <v>2.1100000000000001E-2</v>
          </cell>
          <cell r="FM80">
            <v>2.76E-2</v>
          </cell>
          <cell r="FN80">
            <v>2.4E-2</v>
          </cell>
          <cell r="FO80">
            <v>2.47E-2</v>
          </cell>
          <cell r="FP80">
            <v>2.1100000000000001E-2</v>
          </cell>
          <cell r="FQ80">
            <v>1.2800000000000001E-2</v>
          </cell>
          <cell r="FR80">
            <v>7.4000000000000003E-3</v>
          </cell>
          <cell r="FS80">
            <v>1.0699999999999999E-2</v>
          </cell>
          <cell r="FT80">
            <v>3.8E-3</v>
          </cell>
          <cell r="FU80">
            <v>1.41E-2</v>
          </cell>
          <cell r="FV80">
            <v>1.14E-2</v>
          </cell>
          <cell r="FW80">
            <v>1.11E-2</v>
          </cell>
          <cell r="FX80">
            <v>6.4000000000000003E-3</v>
          </cell>
          <cell r="FY80">
            <v>9.2999999999999992E-3</v>
          </cell>
          <cell r="FZ80">
            <v>3.3E-3</v>
          </cell>
          <cell r="GA80">
            <v>1.11E-2</v>
          </cell>
          <cell r="GB80">
            <v>6.4000000000000003E-3</v>
          </cell>
          <cell r="GC80">
            <v>9.2999999999999992E-3</v>
          </cell>
          <cell r="GD80">
            <v>3.3E-3</v>
          </cell>
          <cell r="GE80">
            <v>2.18E-2</v>
          </cell>
          <cell r="GF80">
            <v>1.9300000000000001E-2</v>
          </cell>
          <cell r="GG80">
            <v>1.9799999999999998E-2</v>
          </cell>
          <cell r="GH80">
            <v>1.6299999999999999E-2</v>
          </cell>
          <cell r="GI80">
            <v>2.18E-2</v>
          </cell>
          <cell r="GJ80">
            <v>1.9300000000000001E-2</v>
          </cell>
          <cell r="GK80">
            <v>1.9799999999999998E-2</v>
          </cell>
          <cell r="GL80">
            <v>1.6299999999999999E-2</v>
          </cell>
          <cell r="GM80">
            <v>1.2800000000000001E-2</v>
          </cell>
          <cell r="GN80">
            <v>5.4000000000000003E-3</v>
          </cell>
          <cell r="GO80">
            <v>1.0699999999999999E-2</v>
          </cell>
          <cell r="GP80">
            <v>2.8999999999999998E-3</v>
          </cell>
          <cell r="GQ80">
            <v>1.41E-2</v>
          </cell>
          <cell r="GR80">
            <v>8.3999999999999995E-3</v>
          </cell>
          <cell r="GS80">
            <v>1.11E-2</v>
          </cell>
          <cell r="GT80">
            <v>4.7000000000000002E-3</v>
          </cell>
          <cell r="GU80">
            <v>9.2999999999999992E-3</v>
          </cell>
          <cell r="GV80">
            <v>2.5000000000000001E-3</v>
          </cell>
          <cell r="GW80">
            <v>1.11E-2</v>
          </cell>
          <cell r="GX80">
            <v>4.7000000000000002E-3</v>
          </cell>
          <cell r="GY80">
            <v>9.2999999999999992E-3</v>
          </cell>
          <cell r="GZ80">
            <v>2.5000000000000001E-3</v>
          </cell>
          <cell r="HA80">
            <v>2.18E-2</v>
          </cell>
          <cell r="HB80">
            <v>1.9300000000000001E-2</v>
          </cell>
          <cell r="HC80">
            <v>1.9799999999999998E-2</v>
          </cell>
          <cell r="HD80">
            <v>1.6299999999999999E-2</v>
          </cell>
          <cell r="HE80">
            <v>2.18E-2</v>
          </cell>
          <cell r="HF80">
            <v>1.9300000000000001E-2</v>
          </cell>
          <cell r="HG80">
            <v>1.9799999999999998E-2</v>
          </cell>
          <cell r="HH80">
            <v>1.6299999999999999E-2</v>
          </cell>
          <cell r="HI80">
            <v>1.29E-2</v>
          </cell>
          <cell r="HJ80">
            <v>6.1000000000000004E-3</v>
          </cell>
          <cell r="HK80">
            <v>1.0699999999999999E-2</v>
          </cell>
          <cell r="HL80">
            <v>3.2000000000000002E-3</v>
          </cell>
          <cell r="HM80">
            <v>1.4200000000000001E-2</v>
          </cell>
          <cell r="HN80">
            <v>9.2999999999999992E-3</v>
          </cell>
          <cell r="HO80">
            <v>1.12E-2</v>
          </cell>
          <cell r="HP80">
            <v>5.3E-3</v>
          </cell>
          <cell r="HQ80">
            <v>9.2999999999999992E-3</v>
          </cell>
          <cell r="HR80">
            <v>2.8000000000000001E-2</v>
          </cell>
          <cell r="HS80">
            <v>1.12E-2</v>
          </cell>
          <cell r="HT80">
            <v>5.3E-3</v>
          </cell>
          <cell r="HU80">
            <v>9.2999999999999992E-3</v>
          </cell>
          <cell r="HV80">
            <v>2.8000000000000001E-2</v>
          </cell>
          <cell r="HW80" t="str">
            <v>%PPL</v>
          </cell>
        </row>
        <row r="81">
          <cell r="AV81" t="str">
            <v>IPR Pluggable Modules 1G /SFP,cSFP</v>
          </cell>
          <cell r="AW81">
            <v>0.83499999999999996</v>
          </cell>
          <cell r="AX81">
            <v>0.68</v>
          </cell>
          <cell r="AY81">
            <v>0.75</v>
          </cell>
          <cell r="AZ81">
            <v>0.85</v>
          </cell>
          <cell r="BA81">
            <v>0.71299999999999997</v>
          </cell>
          <cell r="BB81">
            <v>0.75</v>
          </cell>
          <cell r="BC81">
            <v>0.85</v>
          </cell>
          <cell r="BD81">
            <v>0.71299999999999997</v>
          </cell>
          <cell r="BE81">
            <v>0.75</v>
          </cell>
          <cell r="BF81">
            <v>0.7</v>
          </cell>
          <cell r="BG81">
            <v>0.7</v>
          </cell>
          <cell r="BH81">
            <v>0.75</v>
          </cell>
          <cell r="BI81">
            <v>0.88</v>
          </cell>
          <cell r="BJ81">
            <v>0.6</v>
          </cell>
          <cell r="BK81">
            <v>2.5000000000000001E-2</v>
          </cell>
          <cell r="BL81" t="str">
            <v>%PMP</v>
          </cell>
          <cell r="BM81">
            <v>1.3779928125000002E-2</v>
          </cell>
          <cell r="BN81">
            <v>1.0122413793103449E-2</v>
          </cell>
          <cell r="BO81">
            <v>1.2878437500000001E-2</v>
          </cell>
          <cell r="BP81">
            <v>7.5672413793103459E-3</v>
          </cell>
          <cell r="BQ81">
            <v>1.3779928125000002E-2</v>
          </cell>
          <cell r="BR81">
            <v>1.0122413793103449E-2</v>
          </cell>
          <cell r="BS81">
            <v>1.2878437500000001E-2</v>
          </cell>
          <cell r="BT81">
            <v>7.5672413793103459E-3</v>
          </cell>
          <cell r="BU81">
            <v>1.2878437500000001E-2</v>
          </cell>
          <cell r="BV81">
            <v>5.2517187499999994E-3</v>
          </cell>
          <cell r="BW81">
            <v>1.0732812499999999E-2</v>
          </cell>
          <cell r="BX81">
            <v>2.5035937500000002E-3</v>
          </cell>
          <cell r="BY81">
            <v>1.4166281250000003E-2</v>
          </cell>
          <cell r="BZ81">
            <v>8.0876468749999982E-3</v>
          </cell>
          <cell r="CA81">
            <v>1.0302749999999999E-2</v>
          </cell>
          <cell r="CB81">
            <v>4.2013750000000002E-3</v>
          </cell>
          <cell r="CC81">
            <v>8.5862500000000001E-3</v>
          </cell>
          <cell r="CD81">
            <v>2.0028749999999994E-3</v>
          </cell>
          <cell r="CE81">
            <v>1.0302749999999999E-2</v>
          </cell>
          <cell r="CF81">
            <v>4.2013750000000002E-3</v>
          </cell>
          <cell r="CG81">
            <v>8.5862500000000001E-3</v>
          </cell>
          <cell r="CH81">
            <v>2.0028749999999994E-3</v>
          </cell>
          <cell r="CI81">
            <v>1.2918243750000001E-2</v>
          </cell>
          <cell r="CJ81">
            <v>9.5789342034462103E-3</v>
          </cell>
          <cell r="CK81">
            <v>1.2073125000000001E-2</v>
          </cell>
          <cell r="CL81">
            <v>8.1543747578054927E-3</v>
          </cell>
          <cell r="CM81">
            <v>1.2918243750000001E-2</v>
          </cell>
          <cell r="CN81">
            <v>9.5789342034462103E-3</v>
          </cell>
          <cell r="CO81">
            <v>1.2073125000000001E-2</v>
          </cell>
          <cell r="CP81">
            <v>8.1543747578054927E-3</v>
          </cell>
          <cell r="CQ81">
            <v>1.2073125000000001E-2</v>
          </cell>
          <cell r="CR81">
            <v>4.8415625000000004E-3</v>
          </cell>
          <cell r="CS81">
            <v>1.0873749999999998E-2</v>
          </cell>
          <cell r="CT81">
            <v>2.5481249999999996E-3</v>
          </cell>
          <cell r="CU81">
            <v>8.5250000000000013E-3</v>
          </cell>
          <cell r="CV81">
            <v>4.2349999999999992E-3</v>
          </cell>
          <cell r="CW81">
            <v>9.6624999999999992E-3</v>
          </cell>
          <cell r="CX81">
            <v>3.8812500000000002E-3</v>
          </cell>
          <cell r="CY81">
            <v>8.6949999999999996E-3</v>
          </cell>
          <cell r="CZ81">
            <v>2.0384999999999999E-3</v>
          </cell>
          <cell r="DA81">
            <v>9.6624999999999992E-3</v>
          </cell>
          <cell r="DB81">
            <v>3.8812500000000002E-3</v>
          </cell>
          <cell r="DC81">
            <v>8.6949999999999996E-3</v>
          </cell>
          <cell r="DD81">
            <v>2.0384999999999999E-3</v>
          </cell>
          <cell r="DE81">
            <v>1.12E-2</v>
          </cell>
          <cell r="DF81">
            <v>4.4000000000000003E-3</v>
          </cell>
          <cell r="DG81">
            <v>9.1199999999999996E-3</v>
          </cell>
          <cell r="DH81">
            <v>4.1000000000000003E-3</v>
          </cell>
          <cell r="DI81">
            <v>1.1984E-2</v>
          </cell>
          <cell r="DJ81">
            <v>1.0699999999999999E-2</v>
          </cell>
          <cell r="DK81">
            <v>1.12E-2</v>
          </cell>
          <cell r="DL81">
            <v>9.8399999999999998E-3</v>
          </cell>
          <cell r="DM81">
            <v>1.1984E-2</v>
          </cell>
          <cell r="DN81">
            <v>1.0059999999999999E-2</v>
          </cell>
          <cell r="DO81">
            <v>1.12E-2</v>
          </cell>
          <cell r="DP81">
            <v>9.1699999999999993E-3</v>
          </cell>
          <cell r="DQ81">
            <v>1.1984E-2</v>
          </cell>
          <cell r="DR81">
            <v>1.0699999999999999E-2</v>
          </cell>
          <cell r="DS81">
            <v>1.12E-2</v>
          </cell>
          <cell r="DT81">
            <v>9.8399999999999998E-3</v>
          </cell>
          <cell r="DU81">
            <v>1.12E-2</v>
          </cell>
          <cell r="DV81">
            <v>4.4000000000000003E-3</v>
          </cell>
          <cell r="DW81">
            <v>0.01</v>
          </cell>
          <cell r="DX81">
            <v>2.3E-3</v>
          </cell>
          <cell r="DY81">
            <v>1.23E-2</v>
          </cell>
          <cell r="DZ81">
            <v>6.7999999999999996E-3</v>
          </cell>
          <cell r="EA81">
            <v>9.2999999999999992E-3</v>
          </cell>
          <cell r="EB81">
            <v>3.7000000000000002E-3</v>
          </cell>
          <cell r="EC81">
            <v>8.3000000000000001E-3</v>
          </cell>
          <cell r="ED81">
            <v>1.9E-3</v>
          </cell>
          <cell r="EE81">
            <v>9.2999999999999992E-3</v>
          </cell>
          <cell r="EF81">
            <v>3.7000000000000002E-3</v>
          </cell>
          <cell r="EG81">
            <v>8.3000000000000001E-3</v>
          </cell>
          <cell r="EH81">
            <v>1.9E-3</v>
          </cell>
          <cell r="EI81">
            <v>1.1984E-2</v>
          </cell>
          <cell r="EJ81">
            <v>1.0699999999999999E-2</v>
          </cell>
          <cell r="EK81">
            <v>1.12E-2</v>
          </cell>
          <cell r="EL81">
            <v>9.8399999999999998E-3</v>
          </cell>
          <cell r="EM81">
            <v>1.1984E-2</v>
          </cell>
          <cell r="EN81">
            <v>1.0059999999999999E-2</v>
          </cell>
          <cell r="EO81">
            <v>1.12E-2</v>
          </cell>
          <cell r="EP81">
            <v>9.1699999999999993E-3</v>
          </cell>
          <cell r="EQ81">
            <v>1.1984E-2</v>
          </cell>
          <cell r="ER81">
            <v>1.0699999999999999E-2</v>
          </cell>
          <cell r="ES81">
            <v>1.12E-2</v>
          </cell>
          <cell r="ET81">
            <v>9.8399999999999998E-3</v>
          </cell>
          <cell r="EU81">
            <v>1.12E-2</v>
          </cell>
          <cell r="EV81">
            <v>4.4000000000000003E-3</v>
          </cell>
          <cell r="EW81">
            <v>0.01</v>
          </cell>
          <cell r="EX81">
            <v>2.3E-3</v>
          </cell>
          <cell r="EY81">
            <v>1.23E-2</v>
          </cell>
          <cell r="EZ81">
            <v>6.7999999999999996E-3</v>
          </cell>
          <cell r="FA81">
            <v>9.2999999999999992E-3</v>
          </cell>
          <cell r="FB81">
            <v>3.7000000000000002E-3</v>
          </cell>
          <cell r="FC81">
            <v>8.3000000000000001E-3</v>
          </cell>
          <cell r="FD81">
            <v>1.9E-3</v>
          </cell>
          <cell r="FE81">
            <v>9.2999999999999992E-3</v>
          </cell>
          <cell r="FF81">
            <v>3.7000000000000002E-3</v>
          </cell>
          <cell r="FG81">
            <v>8.3000000000000001E-3</v>
          </cell>
          <cell r="FH81">
            <v>1.9E-3</v>
          </cell>
          <cell r="FI81">
            <v>2.76E-2</v>
          </cell>
          <cell r="FJ81">
            <v>2.4E-2</v>
          </cell>
          <cell r="FK81">
            <v>2.47E-2</v>
          </cell>
          <cell r="FL81">
            <v>2.1100000000000001E-2</v>
          </cell>
          <cell r="FM81">
            <v>2.76E-2</v>
          </cell>
          <cell r="FN81">
            <v>2.4E-2</v>
          </cell>
          <cell r="FO81">
            <v>2.47E-2</v>
          </cell>
          <cell r="FP81">
            <v>2.1100000000000001E-2</v>
          </cell>
          <cell r="FQ81">
            <v>1.2800000000000001E-2</v>
          </cell>
          <cell r="FR81">
            <v>7.4000000000000003E-3</v>
          </cell>
          <cell r="FS81">
            <v>1.0699999999999999E-2</v>
          </cell>
          <cell r="FT81">
            <v>3.8E-3</v>
          </cell>
          <cell r="FU81">
            <v>1.41E-2</v>
          </cell>
          <cell r="FV81">
            <v>1.14E-2</v>
          </cell>
          <cell r="FW81">
            <v>1.11E-2</v>
          </cell>
          <cell r="FX81">
            <v>6.4000000000000003E-3</v>
          </cell>
          <cell r="FY81">
            <v>9.2999999999999992E-3</v>
          </cell>
          <cell r="FZ81">
            <v>3.3E-3</v>
          </cell>
          <cell r="GA81">
            <v>1.11E-2</v>
          </cell>
          <cell r="GB81">
            <v>6.4000000000000003E-3</v>
          </cell>
          <cell r="GC81">
            <v>9.2999999999999992E-3</v>
          </cell>
          <cell r="GD81">
            <v>3.3E-3</v>
          </cell>
          <cell r="GE81">
            <v>2.18E-2</v>
          </cell>
          <cell r="GF81">
            <v>1.9300000000000001E-2</v>
          </cell>
          <cell r="GG81">
            <v>1.9799999999999998E-2</v>
          </cell>
          <cell r="GH81">
            <v>1.6299999999999999E-2</v>
          </cell>
          <cell r="GI81">
            <v>2.18E-2</v>
          </cell>
          <cell r="GJ81">
            <v>1.9300000000000001E-2</v>
          </cell>
          <cell r="GK81">
            <v>1.9799999999999998E-2</v>
          </cell>
          <cell r="GL81">
            <v>1.6299999999999999E-2</v>
          </cell>
          <cell r="GM81">
            <v>1.2800000000000001E-2</v>
          </cell>
          <cell r="GN81">
            <v>5.4000000000000003E-3</v>
          </cell>
          <cell r="GO81">
            <v>1.0699999999999999E-2</v>
          </cell>
          <cell r="GP81">
            <v>2.8999999999999998E-3</v>
          </cell>
          <cell r="GQ81">
            <v>1.41E-2</v>
          </cell>
          <cell r="GR81">
            <v>8.3999999999999995E-3</v>
          </cell>
          <cell r="GS81">
            <v>1.11E-2</v>
          </cell>
          <cell r="GT81">
            <v>4.7000000000000002E-3</v>
          </cell>
          <cell r="GU81">
            <v>9.2999999999999992E-3</v>
          </cell>
          <cell r="GV81">
            <v>2.5000000000000001E-3</v>
          </cell>
          <cell r="GW81">
            <v>1.11E-2</v>
          </cell>
          <cell r="GX81">
            <v>4.7000000000000002E-3</v>
          </cell>
          <cell r="GY81">
            <v>9.2999999999999992E-3</v>
          </cell>
          <cell r="GZ81">
            <v>2.5000000000000001E-3</v>
          </cell>
          <cell r="HA81">
            <v>2.18E-2</v>
          </cell>
          <cell r="HB81">
            <v>1.9300000000000001E-2</v>
          </cell>
          <cell r="HC81">
            <v>1.9799999999999998E-2</v>
          </cell>
          <cell r="HD81">
            <v>1.6299999999999999E-2</v>
          </cell>
          <cell r="HE81">
            <v>2.18E-2</v>
          </cell>
          <cell r="HF81">
            <v>1.9300000000000001E-2</v>
          </cell>
          <cell r="HG81">
            <v>1.9799999999999998E-2</v>
          </cell>
          <cell r="HH81">
            <v>1.6299999999999999E-2</v>
          </cell>
          <cell r="HI81">
            <v>1.29E-2</v>
          </cell>
          <cell r="HJ81">
            <v>6.1000000000000004E-3</v>
          </cell>
          <cell r="HK81">
            <v>1.0699999999999999E-2</v>
          </cell>
          <cell r="HL81">
            <v>3.2000000000000002E-3</v>
          </cell>
          <cell r="HM81">
            <v>1.4200000000000001E-2</v>
          </cell>
          <cell r="HN81">
            <v>9.2999999999999992E-3</v>
          </cell>
          <cell r="HO81">
            <v>1.12E-2</v>
          </cell>
          <cell r="HP81">
            <v>5.3E-3</v>
          </cell>
          <cell r="HQ81">
            <v>9.2999999999999992E-3</v>
          </cell>
          <cell r="HR81">
            <v>2.8000000000000001E-2</v>
          </cell>
          <cell r="HS81">
            <v>1.12E-2</v>
          </cell>
          <cell r="HT81">
            <v>5.3E-3</v>
          </cell>
          <cell r="HU81">
            <v>9.2999999999999992E-3</v>
          </cell>
          <cell r="HV81">
            <v>2.8000000000000001E-2</v>
          </cell>
          <cell r="HW81" t="str">
            <v>%PPL</v>
          </cell>
        </row>
        <row r="82">
          <cell r="AV82" t="str">
            <v>IPR Pluggable Modules 200G /QSFP28-DD, CFP2-DCO</v>
          </cell>
          <cell r="AW82">
            <v>0.83499999999999996</v>
          </cell>
          <cell r="AX82">
            <v>0.63</v>
          </cell>
          <cell r="AY82">
            <v>0.7</v>
          </cell>
          <cell r="AZ82">
            <v>0.8</v>
          </cell>
          <cell r="BA82">
            <v>0.66300000000000003</v>
          </cell>
          <cell r="BB82">
            <v>0.7</v>
          </cell>
          <cell r="BC82">
            <v>0.8</v>
          </cell>
          <cell r="BD82">
            <v>0.66300000000000003</v>
          </cell>
          <cell r="BE82">
            <v>0.7</v>
          </cell>
          <cell r="BF82">
            <v>0.65</v>
          </cell>
          <cell r="BG82">
            <v>0.65</v>
          </cell>
          <cell r="BH82">
            <v>0.7</v>
          </cell>
          <cell r="BI82">
            <v>0.86</v>
          </cell>
          <cell r="BJ82">
            <v>0.6</v>
          </cell>
          <cell r="BK82">
            <v>2.5000000000000001E-2</v>
          </cell>
          <cell r="BL82" t="str">
            <v>%PMP</v>
          </cell>
          <cell r="BM82">
            <v>1.3779928125000002E-2</v>
          </cell>
          <cell r="BN82">
            <v>1.0122413793103449E-2</v>
          </cell>
          <cell r="BO82">
            <v>1.2878437500000001E-2</v>
          </cell>
          <cell r="BP82">
            <v>7.5672413793103459E-3</v>
          </cell>
          <cell r="BQ82">
            <v>1.3779928125000002E-2</v>
          </cell>
          <cell r="BR82">
            <v>1.0122413793103449E-2</v>
          </cell>
          <cell r="BS82">
            <v>1.2878437500000001E-2</v>
          </cell>
          <cell r="BT82">
            <v>7.5672413793103459E-3</v>
          </cell>
          <cell r="BU82">
            <v>1.2878437500000001E-2</v>
          </cell>
          <cell r="BV82">
            <v>5.2517187499999994E-3</v>
          </cell>
          <cell r="BW82">
            <v>1.0732812499999999E-2</v>
          </cell>
          <cell r="BX82">
            <v>2.5035937500000002E-3</v>
          </cell>
          <cell r="BY82">
            <v>1.4166281250000003E-2</v>
          </cell>
          <cell r="BZ82">
            <v>8.0876468749999982E-3</v>
          </cell>
          <cell r="CA82">
            <v>1.0302749999999999E-2</v>
          </cell>
          <cell r="CB82">
            <v>4.2013750000000002E-3</v>
          </cell>
          <cell r="CC82">
            <v>8.5862500000000001E-3</v>
          </cell>
          <cell r="CD82">
            <v>2.0028749999999994E-3</v>
          </cell>
          <cell r="CE82">
            <v>1.0302749999999999E-2</v>
          </cell>
          <cell r="CF82">
            <v>4.2013750000000002E-3</v>
          </cell>
          <cell r="CG82">
            <v>8.5862500000000001E-3</v>
          </cell>
          <cell r="CH82">
            <v>2.0028749999999994E-3</v>
          </cell>
          <cell r="CI82">
            <v>1.2918243750000001E-2</v>
          </cell>
          <cell r="CJ82">
            <v>9.5789342034462103E-3</v>
          </cell>
          <cell r="CK82">
            <v>1.2073125000000001E-2</v>
          </cell>
          <cell r="CL82">
            <v>8.1543747578054927E-3</v>
          </cell>
          <cell r="CM82">
            <v>1.2918243750000001E-2</v>
          </cell>
          <cell r="CN82">
            <v>9.5789342034462103E-3</v>
          </cell>
          <cell r="CO82">
            <v>1.2073125000000001E-2</v>
          </cell>
          <cell r="CP82">
            <v>8.1543747578054927E-3</v>
          </cell>
          <cell r="CQ82">
            <v>1.2073125000000001E-2</v>
          </cell>
          <cell r="CR82">
            <v>4.8415625000000004E-3</v>
          </cell>
          <cell r="CS82">
            <v>1.0873749999999998E-2</v>
          </cell>
          <cell r="CT82">
            <v>2.5481249999999996E-3</v>
          </cell>
          <cell r="CU82">
            <v>8.5250000000000013E-3</v>
          </cell>
          <cell r="CV82">
            <v>4.2349999999999992E-3</v>
          </cell>
          <cell r="CW82">
            <v>9.6624999999999992E-3</v>
          </cell>
          <cell r="CX82">
            <v>3.8812500000000002E-3</v>
          </cell>
          <cell r="CY82">
            <v>8.6949999999999996E-3</v>
          </cell>
          <cell r="CZ82">
            <v>2.0384999999999999E-3</v>
          </cell>
          <cell r="DA82">
            <v>9.6624999999999992E-3</v>
          </cell>
          <cell r="DB82">
            <v>3.8812500000000002E-3</v>
          </cell>
          <cell r="DC82">
            <v>8.6949999999999996E-3</v>
          </cell>
          <cell r="DD82">
            <v>2.0384999999999999E-3</v>
          </cell>
          <cell r="DE82">
            <v>1.12E-2</v>
          </cell>
          <cell r="DF82">
            <v>4.4000000000000003E-3</v>
          </cell>
          <cell r="DG82">
            <v>9.1199999999999996E-3</v>
          </cell>
          <cell r="DH82">
            <v>4.1000000000000003E-3</v>
          </cell>
          <cell r="DI82">
            <v>1.1984E-2</v>
          </cell>
          <cell r="DJ82">
            <v>1.0699999999999999E-2</v>
          </cell>
          <cell r="DK82">
            <v>1.12E-2</v>
          </cell>
          <cell r="DL82">
            <v>9.8399999999999998E-3</v>
          </cell>
          <cell r="DM82">
            <v>1.1984E-2</v>
          </cell>
          <cell r="DN82">
            <v>1.0059999999999999E-2</v>
          </cell>
          <cell r="DO82">
            <v>1.12E-2</v>
          </cell>
          <cell r="DP82">
            <v>9.1699999999999993E-3</v>
          </cell>
          <cell r="DQ82">
            <v>1.1984E-2</v>
          </cell>
          <cell r="DR82">
            <v>1.0699999999999999E-2</v>
          </cell>
          <cell r="DS82">
            <v>1.12E-2</v>
          </cell>
          <cell r="DT82">
            <v>9.8399999999999998E-3</v>
          </cell>
          <cell r="DU82">
            <v>1.12E-2</v>
          </cell>
          <cell r="DV82">
            <v>4.4000000000000003E-3</v>
          </cell>
          <cell r="DW82">
            <v>0.01</v>
          </cell>
          <cell r="DX82">
            <v>2.3E-3</v>
          </cell>
          <cell r="DY82">
            <v>1.23E-2</v>
          </cell>
          <cell r="DZ82">
            <v>6.7999999999999996E-3</v>
          </cell>
          <cell r="EA82">
            <v>9.2999999999999992E-3</v>
          </cell>
          <cell r="EB82">
            <v>3.7000000000000002E-3</v>
          </cell>
          <cell r="EC82">
            <v>8.3000000000000001E-3</v>
          </cell>
          <cell r="ED82">
            <v>1.9E-3</v>
          </cell>
          <cell r="EE82">
            <v>9.2999999999999992E-3</v>
          </cell>
          <cell r="EF82">
            <v>3.7000000000000002E-3</v>
          </cell>
          <cell r="EG82">
            <v>8.3000000000000001E-3</v>
          </cell>
          <cell r="EH82">
            <v>1.9E-3</v>
          </cell>
          <cell r="EI82">
            <v>1.1984E-2</v>
          </cell>
          <cell r="EJ82">
            <v>1.0699999999999999E-2</v>
          </cell>
          <cell r="EK82">
            <v>1.12E-2</v>
          </cell>
          <cell r="EL82">
            <v>9.8399999999999998E-3</v>
          </cell>
          <cell r="EM82">
            <v>1.1984E-2</v>
          </cell>
          <cell r="EN82">
            <v>1.0059999999999999E-2</v>
          </cell>
          <cell r="EO82">
            <v>1.12E-2</v>
          </cell>
          <cell r="EP82">
            <v>9.1699999999999993E-3</v>
          </cell>
          <cell r="EQ82">
            <v>1.1984E-2</v>
          </cell>
          <cell r="ER82">
            <v>1.0699999999999999E-2</v>
          </cell>
          <cell r="ES82">
            <v>1.12E-2</v>
          </cell>
          <cell r="ET82">
            <v>9.8399999999999998E-3</v>
          </cell>
          <cell r="EU82">
            <v>1.12E-2</v>
          </cell>
          <cell r="EV82">
            <v>4.4000000000000003E-3</v>
          </cell>
          <cell r="EW82">
            <v>0.01</v>
          </cell>
          <cell r="EX82">
            <v>2.3E-3</v>
          </cell>
          <cell r="EY82">
            <v>1.23E-2</v>
          </cell>
          <cell r="EZ82">
            <v>6.7999999999999996E-3</v>
          </cell>
          <cell r="FA82">
            <v>9.2999999999999992E-3</v>
          </cell>
          <cell r="FB82">
            <v>3.7000000000000002E-3</v>
          </cell>
          <cell r="FC82">
            <v>8.3000000000000001E-3</v>
          </cell>
          <cell r="FD82">
            <v>1.9E-3</v>
          </cell>
          <cell r="FE82">
            <v>9.2999999999999992E-3</v>
          </cell>
          <cell r="FF82">
            <v>3.7000000000000002E-3</v>
          </cell>
          <cell r="FG82">
            <v>8.3000000000000001E-3</v>
          </cell>
          <cell r="FH82">
            <v>1.9E-3</v>
          </cell>
          <cell r="FI82">
            <v>2.76E-2</v>
          </cell>
          <cell r="FJ82">
            <v>2.4E-2</v>
          </cell>
          <cell r="FK82">
            <v>2.47E-2</v>
          </cell>
          <cell r="FL82">
            <v>2.1100000000000001E-2</v>
          </cell>
          <cell r="FM82">
            <v>2.76E-2</v>
          </cell>
          <cell r="FN82">
            <v>2.4E-2</v>
          </cell>
          <cell r="FO82">
            <v>2.47E-2</v>
          </cell>
          <cell r="FP82">
            <v>2.1100000000000001E-2</v>
          </cell>
          <cell r="FQ82">
            <v>1.2800000000000001E-2</v>
          </cell>
          <cell r="FR82">
            <v>7.4000000000000003E-3</v>
          </cell>
          <cell r="FS82">
            <v>1.0699999999999999E-2</v>
          </cell>
          <cell r="FT82">
            <v>3.8E-3</v>
          </cell>
          <cell r="FU82">
            <v>1.41E-2</v>
          </cell>
          <cell r="FV82">
            <v>1.14E-2</v>
          </cell>
          <cell r="FW82">
            <v>1.11E-2</v>
          </cell>
          <cell r="FX82">
            <v>6.4000000000000003E-3</v>
          </cell>
          <cell r="FY82">
            <v>9.2999999999999992E-3</v>
          </cell>
          <cell r="FZ82">
            <v>3.3E-3</v>
          </cell>
          <cell r="GA82">
            <v>1.11E-2</v>
          </cell>
          <cell r="GB82">
            <v>6.4000000000000003E-3</v>
          </cell>
          <cell r="GC82">
            <v>9.2999999999999992E-3</v>
          </cell>
          <cell r="GD82">
            <v>3.3E-3</v>
          </cell>
          <cell r="GE82">
            <v>2.18E-2</v>
          </cell>
          <cell r="GF82">
            <v>1.9300000000000001E-2</v>
          </cell>
          <cell r="GG82">
            <v>1.9799999999999998E-2</v>
          </cell>
          <cell r="GH82">
            <v>1.6299999999999999E-2</v>
          </cell>
          <cell r="GI82">
            <v>2.18E-2</v>
          </cell>
          <cell r="GJ82">
            <v>1.9300000000000001E-2</v>
          </cell>
          <cell r="GK82">
            <v>1.9799999999999998E-2</v>
          </cell>
          <cell r="GL82">
            <v>1.6299999999999999E-2</v>
          </cell>
          <cell r="GM82">
            <v>1.2800000000000001E-2</v>
          </cell>
          <cell r="GN82">
            <v>5.4000000000000003E-3</v>
          </cell>
          <cell r="GO82">
            <v>1.0699999999999999E-2</v>
          </cell>
          <cell r="GP82">
            <v>2.8999999999999998E-3</v>
          </cell>
          <cell r="GQ82">
            <v>1.41E-2</v>
          </cell>
          <cell r="GR82">
            <v>8.3999999999999995E-3</v>
          </cell>
          <cell r="GS82">
            <v>1.11E-2</v>
          </cell>
          <cell r="GT82">
            <v>4.7000000000000002E-3</v>
          </cell>
          <cell r="GU82">
            <v>9.2999999999999992E-3</v>
          </cell>
          <cell r="GV82">
            <v>2.5000000000000001E-3</v>
          </cell>
          <cell r="GW82">
            <v>1.11E-2</v>
          </cell>
          <cell r="GX82">
            <v>4.7000000000000002E-3</v>
          </cell>
          <cell r="GY82">
            <v>9.2999999999999992E-3</v>
          </cell>
          <cell r="GZ82">
            <v>2.5000000000000001E-3</v>
          </cell>
          <cell r="HA82">
            <v>2.18E-2</v>
          </cell>
          <cell r="HB82">
            <v>1.9300000000000001E-2</v>
          </cell>
          <cell r="HC82">
            <v>1.9799999999999998E-2</v>
          </cell>
          <cell r="HD82">
            <v>1.6299999999999999E-2</v>
          </cell>
          <cell r="HE82">
            <v>2.18E-2</v>
          </cell>
          <cell r="HF82">
            <v>1.9300000000000001E-2</v>
          </cell>
          <cell r="HG82">
            <v>1.9799999999999998E-2</v>
          </cell>
          <cell r="HH82">
            <v>1.6299999999999999E-2</v>
          </cell>
          <cell r="HI82">
            <v>1.29E-2</v>
          </cell>
          <cell r="HJ82">
            <v>6.1000000000000004E-3</v>
          </cell>
          <cell r="HK82">
            <v>1.0699999999999999E-2</v>
          </cell>
          <cell r="HL82">
            <v>3.2000000000000002E-3</v>
          </cell>
          <cell r="HM82">
            <v>1.4200000000000001E-2</v>
          </cell>
          <cell r="HN82">
            <v>9.2999999999999992E-3</v>
          </cell>
          <cell r="HO82">
            <v>1.12E-2</v>
          </cell>
          <cell r="HP82">
            <v>5.3E-3</v>
          </cell>
          <cell r="HQ82">
            <v>9.2999999999999992E-3</v>
          </cell>
          <cell r="HR82">
            <v>2.8000000000000001E-2</v>
          </cell>
          <cell r="HS82">
            <v>1.12E-2</v>
          </cell>
          <cell r="HT82">
            <v>5.3E-3</v>
          </cell>
          <cell r="HU82">
            <v>9.2999999999999992E-3</v>
          </cell>
          <cell r="HV82">
            <v>2.8000000000000001E-2</v>
          </cell>
          <cell r="HW82" t="str">
            <v>%PPL</v>
          </cell>
        </row>
        <row r="83">
          <cell r="AV83" t="str">
            <v>IPR Pluggable Modules 25G /SFP28</v>
          </cell>
          <cell r="AW83">
            <v>0.83499999999999996</v>
          </cell>
          <cell r="AX83">
            <v>0.63</v>
          </cell>
          <cell r="AY83">
            <v>0.7</v>
          </cell>
          <cell r="AZ83">
            <v>0.8</v>
          </cell>
          <cell r="BA83">
            <v>0.66300000000000003</v>
          </cell>
          <cell r="BB83">
            <v>0.75</v>
          </cell>
          <cell r="BC83">
            <v>0.8</v>
          </cell>
          <cell r="BD83">
            <v>0.66300000000000003</v>
          </cell>
          <cell r="BE83">
            <v>0.7</v>
          </cell>
          <cell r="BF83">
            <v>0.65</v>
          </cell>
          <cell r="BG83">
            <v>0.65</v>
          </cell>
          <cell r="BH83">
            <v>0.7</v>
          </cell>
          <cell r="BI83">
            <v>0.81</v>
          </cell>
          <cell r="BJ83">
            <v>0.6</v>
          </cell>
          <cell r="BK83">
            <v>2.5000000000000001E-2</v>
          </cell>
          <cell r="BL83" t="str">
            <v>%PMP</v>
          </cell>
          <cell r="BM83">
            <v>1.3779928125000002E-2</v>
          </cell>
          <cell r="BN83">
            <v>1.0122413793103449E-2</v>
          </cell>
          <cell r="BO83">
            <v>1.2878437500000001E-2</v>
          </cell>
          <cell r="BP83">
            <v>7.5672413793103459E-3</v>
          </cell>
          <cell r="BQ83">
            <v>1.3779928125000002E-2</v>
          </cell>
          <cell r="BR83">
            <v>1.0122413793103449E-2</v>
          </cell>
          <cell r="BS83">
            <v>1.2878437500000001E-2</v>
          </cell>
          <cell r="BT83">
            <v>7.5672413793103459E-3</v>
          </cell>
          <cell r="BU83">
            <v>1.2878437500000001E-2</v>
          </cell>
          <cell r="BV83">
            <v>5.2517187499999994E-3</v>
          </cell>
          <cell r="BW83">
            <v>1.0732812499999999E-2</v>
          </cell>
          <cell r="BX83">
            <v>2.5035937500000002E-3</v>
          </cell>
          <cell r="BY83">
            <v>1.4166281250000003E-2</v>
          </cell>
          <cell r="BZ83">
            <v>8.0876468749999982E-3</v>
          </cell>
          <cell r="CA83">
            <v>1.0302749999999999E-2</v>
          </cell>
          <cell r="CB83">
            <v>4.2013750000000002E-3</v>
          </cell>
          <cell r="CC83">
            <v>8.5862500000000001E-3</v>
          </cell>
          <cell r="CD83">
            <v>2.0028749999999994E-3</v>
          </cell>
          <cell r="CE83">
            <v>1.0302749999999999E-2</v>
          </cell>
          <cell r="CF83">
            <v>4.2013750000000002E-3</v>
          </cell>
          <cell r="CG83">
            <v>8.5862500000000001E-3</v>
          </cell>
          <cell r="CH83">
            <v>2.0028749999999994E-3</v>
          </cell>
          <cell r="CI83">
            <v>1.2918243750000001E-2</v>
          </cell>
          <cell r="CJ83">
            <v>9.5789342034462103E-3</v>
          </cell>
          <cell r="CK83">
            <v>1.2073125000000001E-2</v>
          </cell>
          <cell r="CL83">
            <v>8.1543747578054927E-3</v>
          </cell>
          <cell r="CM83">
            <v>1.2918243750000001E-2</v>
          </cell>
          <cell r="CN83">
            <v>9.5789342034462103E-3</v>
          </cell>
          <cell r="CO83">
            <v>1.2073125000000001E-2</v>
          </cell>
          <cell r="CP83">
            <v>8.1543747578054927E-3</v>
          </cell>
          <cell r="CQ83">
            <v>1.2073125000000001E-2</v>
          </cell>
          <cell r="CR83">
            <v>4.8415625000000004E-3</v>
          </cell>
          <cell r="CS83">
            <v>1.0873749999999998E-2</v>
          </cell>
          <cell r="CT83">
            <v>2.5481249999999996E-3</v>
          </cell>
          <cell r="CU83">
            <v>8.5250000000000013E-3</v>
          </cell>
          <cell r="CV83">
            <v>4.2349999999999992E-3</v>
          </cell>
          <cell r="CW83">
            <v>9.6624999999999992E-3</v>
          </cell>
          <cell r="CX83">
            <v>3.8812500000000002E-3</v>
          </cell>
          <cell r="CY83">
            <v>8.6949999999999996E-3</v>
          </cell>
          <cell r="CZ83">
            <v>2.0384999999999999E-3</v>
          </cell>
          <cell r="DA83">
            <v>9.6624999999999992E-3</v>
          </cell>
          <cell r="DB83">
            <v>3.8812500000000002E-3</v>
          </cell>
          <cell r="DC83">
            <v>8.6949999999999996E-3</v>
          </cell>
          <cell r="DD83">
            <v>2.0384999999999999E-3</v>
          </cell>
          <cell r="DE83">
            <v>1.12E-2</v>
          </cell>
          <cell r="DF83">
            <v>4.4000000000000003E-3</v>
          </cell>
          <cell r="DG83">
            <v>9.1199999999999996E-3</v>
          </cell>
          <cell r="DH83">
            <v>4.1000000000000003E-3</v>
          </cell>
          <cell r="DI83">
            <v>1.1984E-2</v>
          </cell>
          <cell r="DJ83">
            <v>1.0699999999999999E-2</v>
          </cell>
          <cell r="DK83">
            <v>1.12E-2</v>
          </cell>
          <cell r="DL83">
            <v>9.8399999999999998E-3</v>
          </cell>
          <cell r="DM83">
            <v>1.1984E-2</v>
          </cell>
          <cell r="DN83">
            <v>1.0059999999999999E-2</v>
          </cell>
          <cell r="DO83">
            <v>1.12E-2</v>
          </cell>
          <cell r="DP83">
            <v>9.1699999999999993E-3</v>
          </cell>
          <cell r="DQ83">
            <v>1.1984E-2</v>
          </cell>
          <cell r="DR83">
            <v>1.0699999999999999E-2</v>
          </cell>
          <cell r="DS83">
            <v>1.12E-2</v>
          </cell>
          <cell r="DT83">
            <v>9.8399999999999998E-3</v>
          </cell>
          <cell r="DU83">
            <v>1.12E-2</v>
          </cell>
          <cell r="DV83">
            <v>4.4000000000000003E-3</v>
          </cell>
          <cell r="DW83">
            <v>0.01</v>
          </cell>
          <cell r="DX83">
            <v>2.3E-3</v>
          </cell>
          <cell r="DY83">
            <v>1.23E-2</v>
          </cell>
          <cell r="DZ83">
            <v>6.7999999999999996E-3</v>
          </cell>
          <cell r="EA83">
            <v>9.2999999999999992E-3</v>
          </cell>
          <cell r="EB83">
            <v>3.7000000000000002E-3</v>
          </cell>
          <cell r="EC83">
            <v>8.3000000000000001E-3</v>
          </cell>
          <cell r="ED83">
            <v>1.9E-3</v>
          </cell>
          <cell r="EE83">
            <v>9.2999999999999992E-3</v>
          </cell>
          <cell r="EF83">
            <v>3.7000000000000002E-3</v>
          </cell>
          <cell r="EG83">
            <v>8.3000000000000001E-3</v>
          </cell>
          <cell r="EH83">
            <v>1.9E-3</v>
          </cell>
          <cell r="EI83">
            <v>1.1984E-2</v>
          </cell>
          <cell r="EJ83">
            <v>1.0699999999999999E-2</v>
          </cell>
          <cell r="EK83">
            <v>1.12E-2</v>
          </cell>
          <cell r="EL83">
            <v>9.8399999999999998E-3</v>
          </cell>
          <cell r="EM83">
            <v>1.1984E-2</v>
          </cell>
          <cell r="EN83">
            <v>1.0059999999999999E-2</v>
          </cell>
          <cell r="EO83">
            <v>1.12E-2</v>
          </cell>
          <cell r="EP83">
            <v>9.1699999999999993E-3</v>
          </cell>
          <cell r="EQ83">
            <v>1.1984E-2</v>
          </cell>
          <cell r="ER83">
            <v>1.0699999999999999E-2</v>
          </cell>
          <cell r="ES83">
            <v>1.12E-2</v>
          </cell>
          <cell r="ET83">
            <v>9.8399999999999998E-3</v>
          </cell>
          <cell r="EU83">
            <v>1.12E-2</v>
          </cell>
          <cell r="EV83">
            <v>4.4000000000000003E-3</v>
          </cell>
          <cell r="EW83">
            <v>0.01</v>
          </cell>
          <cell r="EX83">
            <v>2.3E-3</v>
          </cell>
          <cell r="EY83">
            <v>1.23E-2</v>
          </cell>
          <cell r="EZ83">
            <v>6.7999999999999996E-3</v>
          </cell>
          <cell r="FA83">
            <v>9.2999999999999992E-3</v>
          </cell>
          <cell r="FB83">
            <v>3.7000000000000002E-3</v>
          </cell>
          <cell r="FC83">
            <v>8.3000000000000001E-3</v>
          </cell>
          <cell r="FD83">
            <v>1.9E-3</v>
          </cell>
          <cell r="FE83">
            <v>9.2999999999999992E-3</v>
          </cell>
          <cell r="FF83">
            <v>3.7000000000000002E-3</v>
          </cell>
          <cell r="FG83">
            <v>8.3000000000000001E-3</v>
          </cell>
          <cell r="FH83">
            <v>1.9E-3</v>
          </cell>
          <cell r="FI83">
            <v>2.76E-2</v>
          </cell>
          <cell r="FJ83">
            <v>2.4E-2</v>
          </cell>
          <cell r="FK83">
            <v>2.47E-2</v>
          </cell>
          <cell r="FL83">
            <v>2.1100000000000001E-2</v>
          </cell>
          <cell r="FM83">
            <v>2.76E-2</v>
          </cell>
          <cell r="FN83">
            <v>2.4E-2</v>
          </cell>
          <cell r="FO83">
            <v>2.47E-2</v>
          </cell>
          <cell r="FP83">
            <v>2.1100000000000001E-2</v>
          </cell>
          <cell r="FQ83">
            <v>1.2800000000000001E-2</v>
          </cell>
          <cell r="FR83">
            <v>7.4000000000000003E-3</v>
          </cell>
          <cell r="FS83">
            <v>1.0699999999999999E-2</v>
          </cell>
          <cell r="FT83">
            <v>3.8E-3</v>
          </cell>
          <cell r="FU83">
            <v>1.41E-2</v>
          </cell>
          <cell r="FV83">
            <v>1.14E-2</v>
          </cell>
          <cell r="FW83">
            <v>1.11E-2</v>
          </cell>
          <cell r="FX83">
            <v>6.4000000000000003E-3</v>
          </cell>
          <cell r="FY83">
            <v>9.2999999999999992E-3</v>
          </cell>
          <cell r="FZ83">
            <v>3.3E-3</v>
          </cell>
          <cell r="GA83">
            <v>1.11E-2</v>
          </cell>
          <cell r="GB83">
            <v>6.4000000000000003E-3</v>
          </cell>
          <cell r="GC83">
            <v>9.2999999999999992E-3</v>
          </cell>
          <cell r="GD83">
            <v>3.3E-3</v>
          </cell>
          <cell r="GE83">
            <v>2.18E-2</v>
          </cell>
          <cell r="GF83">
            <v>1.9300000000000001E-2</v>
          </cell>
          <cell r="GG83">
            <v>1.9799999999999998E-2</v>
          </cell>
          <cell r="GH83">
            <v>1.6299999999999999E-2</v>
          </cell>
          <cell r="GI83">
            <v>2.18E-2</v>
          </cell>
          <cell r="GJ83">
            <v>1.9300000000000001E-2</v>
          </cell>
          <cell r="GK83">
            <v>1.9799999999999998E-2</v>
          </cell>
          <cell r="GL83">
            <v>1.6299999999999999E-2</v>
          </cell>
          <cell r="GM83">
            <v>1.2800000000000001E-2</v>
          </cell>
          <cell r="GN83">
            <v>5.4000000000000003E-3</v>
          </cell>
          <cell r="GO83">
            <v>1.0699999999999999E-2</v>
          </cell>
          <cell r="GP83">
            <v>2.8999999999999998E-3</v>
          </cell>
          <cell r="GQ83">
            <v>1.41E-2</v>
          </cell>
          <cell r="GR83">
            <v>8.3999999999999995E-3</v>
          </cell>
          <cell r="GS83">
            <v>1.11E-2</v>
          </cell>
          <cell r="GT83">
            <v>4.7000000000000002E-3</v>
          </cell>
          <cell r="GU83">
            <v>9.2999999999999992E-3</v>
          </cell>
          <cell r="GV83">
            <v>2.5000000000000001E-3</v>
          </cell>
          <cell r="GW83">
            <v>1.11E-2</v>
          </cell>
          <cell r="GX83">
            <v>4.7000000000000002E-3</v>
          </cell>
          <cell r="GY83">
            <v>9.2999999999999992E-3</v>
          </cell>
          <cell r="GZ83">
            <v>2.5000000000000001E-3</v>
          </cell>
          <cell r="HA83">
            <v>2.18E-2</v>
          </cell>
          <cell r="HB83">
            <v>1.9300000000000001E-2</v>
          </cell>
          <cell r="HC83">
            <v>1.9799999999999998E-2</v>
          </cell>
          <cell r="HD83">
            <v>1.6299999999999999E-2</v>
          </cell>
          <cell r="HE83">
            <v>2.18E-2</v>
          </cell>
          <cell r="HF83">
            <v>1.9300000000000001E-2</v>
          </cell>
          <cell r="HG83">
            <v>1.9799999999999998E-2</v>
          </cell>
          <cell r="HH83">
            <v>1.6299999999999999E-2</v>
          </cell>
          <cell r="HI83">
            <v>1.29E-2</v>
          </cell>
          <cell r="HJ83">
            <v>6.1000000000000004E-3</v>
          </cell>
          <cell r="HK83">
            <v>1.0699999999999999E-2</v>
          </cell>
          <cell r="HL83">
            <v>3.2000000000000002E-3</v>
          </cell>
          <cell r="HM83">
            <v>1.4200000000000001E-2</v>
          </cell>
          <cell r="HN83">
            <v>9.2999999999999992E-3</v>
          </cell>
          <cell r="HO83">
            <v>1.12E-2</v>
          </cell>
          <cell r="HP83">
            <v>5.3E-3</v>
          </cell>
          <cell r="HQ83">
            <v>9.2999999999999992E-3</v>
          </cell>
          <cell r="HR83">
            <v>2.8000000000000001E-2</v>
          </cell>
          <cell r="HS83">
            <v>1.12E-2</v>
          </cell>
          <cell r="HT83">
            <v>5.3E-3</v>
          </cell>
          <cell r="HU83">
            <v>9.2999999999999992E-3</v>
          </cell>
          <cell r="HV83">
            <v>2.8000000000000001E-2</v>
          </cell>
          <cell r="HW83" t="str">
            <v>%PPL</v>
          </cell>
        </row>
        <row r="84">
          <cell r="AV84" t="str">
            <v>IPR Pluggable Modules 40G /QSFP+</v>
          </cell>
          <cell r="AW84">
            <v>0.83499999999999996</v>
          </cell>
          <cell r="AX84">
            <v>0.63</v>
          </cell>
          <cell r="AY84">
            <v>0.7</v>
          </cell>
          <cell r="AZ84">
            <v>0.8</v>
          </cell>
          <cell r="BA84">
            <v>0.66300000000000003</v>
          </cell>
          <cell r="BB84">
            <v>0.75</v>
          </cell>
          <cell r="BC84">
            <v>0.8</v>
          </cell>
          <cell r="BD84">
            <v>0.66300000000000003</v>
          </cell>
          <cell r="BE84">
            <v>0.7</v>
          </cell>
          <cell r="BF84">
            <v>0.65</v>
          </cell>
          <cell r="BG84">
            <v>0.65</v>
          </cell>
          <cell r="BH84">
            <v>0.7</v>
          </cell>
          <cell r="BI84">
            <v>0.86</v>
          </cell>
          <cell r="BJ84">
            <v>0.6</v>
          </cell>
          <cell r="BK84">
            <v>2.5000000000000001E-2</v>
          </cell>
          <cell r="BL84" t="str">
            <v>%PMP</v>
          </cell>
          <cell r="BM84">
            <v>1.3779928125000002E-2</v>
          </cell>
          <cell r="BN84">
            <v>1.0122413793103449E-2</v>
          </cell>
          <cell r="BO84">
            <v>1.2878437500000001E-2</v>
          </cell>
          <cell r="BP84">
            <v>7.5672413793103459E-3</v>
          </cell>
          <cell r="BQ84">
            <v>1.3779928125000002E-2</v>
          </cell>
          <cell r="BR84">
            <v>1.0122413793103449E-2</v>
          </cell>
          <cell r="BS84">
            <v>1.2878437500000001E-2</v>
          </cell>
          <cell r="BT84">
            <v>7.5672413793103459E-3</v>
          </cell>
          <cell r="BU84">
            <v>1.2878437500000001E-2</v>
          </cell>
          <cell r="BV84">
            <v>5.2517187499999994E-3</v>
          </cell>
          <cell r="BW84">
            <v>1.0732812499999999E-2</v>
          </cell>
          <cell r="BX84">
            <v>2.5035937500000002E-3</v>
          </cell>
          <cell r="BY84">
            <v>1.4166281250000003E-2</v>
          </cell>
          <cell r="BZ84">
            <v>8.0876468749999982E-3</v>
          </cell>
          <cell r="CA84">
            <v>1.0302749999999999E-2</v>
          </cell>
          <cell r="CB84">
            <v>4.2013750000000002E-3</v>
          </cell>
          <cell r="CC84">
            <v>8.5862500000000001E-3</v>
          </cell>
          <cell r="CD84">
            <v>2.0028749999999994E-3</v>
          </cell>
          <cell r="CE84">
            <v>1.0302749999999999E-2</v>
          </cell>
          <cell r="CF84">
            <v>4.2013750000000002E-3</v>
          </cell>
          <cell r="CG84">
            <v>8.5862500000000001E-3</v>
          </cell>
          <cell r="CH84">
            <v>2.0028749999999994E-3</v>
          </cell>
          <cell r="CI84">
            <v>1.2918243750000001E-2</v>
          </cell>
          <cell r="CJ84">
            <v>9.5789342034462103E-3</v>
          </cell>
          <cell r="CK84">
            <v>1.2073125000000001E-2</v>
          </cell>
          <cell r="CL84">
            <v>8.1543747578054927E-3</v>
          </cell>
          <cell r="CM84">
            <v>1.2918243750000001E-2</v>
          </cell>
          <cell r="CN84">
            <v>9.5789342034462103E-3</v>
          </cell>
          <cell r="CO84">
            <v>1.2073125000000001E-2</v>
          </cell>
          <cell r="CP84">
            <v>8.1543747578054927E-3</v>
          </cell>
          <cell r="CQ84">
            <v>1.2073125000000001E-2</v>
          </cell>
          <cell r="CR84">
            <v>4.8415625000000004E-3</v>
          </cell>
          <cell r="CS84">
            <v>1.0873749999999998E-2</v>
          </cell>
          <cell r="CT84">
            <v>2.5481249999999996E-3</v>
          </cell>
          <cell r="CU84">
            <v>8.5250000000000013E-3</v>
          </cell>
          <cell r="CV84">
            <v>4.2349999999999992E-3</v>
          </cell>
          <cell r="CW84">
            <v>9.6624999999999992E-3</v>
          </cell>
          <cell r="CX84">
            <v>3.8812500000000002E-3</v>
          </cell>
          <cell r="CY84">
            <v>8.6949999999999996E-3</v>
          </cell>
          <cell r="CZ84">
            <v>2.0384999999999999E-3</v>
          </cell>
          <cell r="DA84">
            <v>9.6624999999999992E-3</v>
          </cell>
          <cell r="DB84">
            <v>3.8812500000000002E-3</v>
          </cell>
          <cell r="DC84">
            <v>8.6949999999999996E-3</v>
          </cell>
          <cell r="DD84">
            <v>2.0384999999999999E-3</v>
          </cell>
          <cell r="DE84">
            <v>1.12E-2</v>
          </cell>
          <cell r="DF84">
            <v>4.4000000000000003E-3</v>
          </cell>
          <cell r="DG84">
            <v>9.1199999999999996E-3</v>
          </cell>
          <cell r="DH84">
            <v>4.1000000000000003E-3</v>
          </cell>
          <cell r="DI84">
            <v>1.1984E-2</v>
          </cell>
          <cell r="DJ84">
            <v>1.0699999999999999E-2</v>
          </cell>
          <cell r="DK84">
            <v>1.12E-2</v>
          </cell>
          <cell r="DL84">
            <v>9.8399999999999998E-3</v>
          </cell>
          <cell r="DM84">
            <v>1.1984E-2</v>
          </cell>
          <cell r="DN84">
            <v>1.0059999999999999E-2</v>
          </cell>
          <cell r="DO84">
            <v>1.12E-2</v>
          </cell>
          <cell r="DP84">
            <v>9.1699999999999993E-3</v>
          </cell>
          <cell r="DQ84">
            <v>1.1984E-2</v>
          </cell>
          <cell r="DR84">
            <v>1.0699999999999999E-2</v>
          </cell>
          <cell r="DS84">
            <v>1.12E-2</v>
          </cell>
          <cell r="DT84">
            <v>9.8399999999999998E-3</v>
          </cell>
          <cell r="DU84">
            <v>1.12E-2</v>
          </cell>
          <cell r="DV84">
            <v>4.4000000000000003E-3</v>
          </cell>
          <cell r="DW84">
            <v>0.01</v>
          </cell>
          <cell r="DX84">
            <v>2.3E-3</v>
          </cell>
          <cell r="DY84">
            <v>1.23E-2</v>
          </cell>
          <cell r="DZ84">
            <v>6.7999999999999996E-3</v>
          </cell>
          <cell r="EA84">
            <v>9.2999999999999992E-3</v>
          </cell>
          <cell r="EB84">
            <v>3.7000000000000002E-3</v>
          </cell>
          <cell r="EC84">
            <v>8.3000000000000001E-3</v>
          </cell>
          <cell r="ED84">
            <v>1.9E-3</v>
          </cell>
          <cell r="EE84">
            <v>9.2999999999999992E-3</v>
          </cell>
          <cell r="EF84">
            <v>3.7000000000000002E-3</v>
          </cell>
          <cell r="EG84">
            <v>8.3000000000000001E-3</v>
          </cell>
          <cell r="EH84">
            <v>1.9E-3</v>
          </cell>
          <cell r="EI84">
            <v>1.1984E-2</v>
          </cell>
          <cell r="EJ84">
            <v>1.0699999999999999E-2</v>
          </cell>
          <cell r="EK84">
            <v>1.12E-2</v>
          </cell>
          <cell r="EL84">
            <v>9.8399999999999998E-3</v>
          </cell>
          <cell r="EM84">
            <v>1.1984E-2</v>
          </cell>
          <cell r="EN84">
            <v>1.0059999999999999E-2</v>
          </cell>
          <cell r="EO84">
            <v>1.12E-2</v>
          </cell>
          <cell r="EP84">
            <v>9.1699999999999993E-3</v>
          </cell>
          <cell r="EQ84">
            <v>1.1984E-2</v>
          </cell>
          <cell r="ER84">
            <v>1.0699999999999999E-2</v>
          </cell>
          <cell r="ES84">
            <v>1.12E-2</v>
          </cell>
          <cell r="ET84">
            <v>9.8399999999999998E-3</v>
          </cell>
          <cell r="EU84">
            <v>1.12E-2</v>
          </cell>
          <cell r="EV84">
            <v>4.4000000000000003E-3</v>
          </cell>
          <cell r="EW84">
            <v>0.01</v>
          </cell>
          <cell r="EX84">
            <v>2.3E-3</v>
          </cell>
          <cell r="EY84">
            <v>1.23E-2</v>
          </cell>
          <cell r="EZ84">
            <v>6.7999999999999996E-3</v>
          </cell>
          <cell r="FA84">
            <v>9.2999999999999992E-3</v>
          </cell>
          <cell r="FB84">
            <v>3.7000000000000002E-3</v>
          </cell>
          <cell r="FC84">
            <v>8.3000000000000001E-3</v>
          </cell>
          <cell r="FD84">
            <v>1.9E-3</v>
          </cell>
          <cell r="FE84">
            <v>9.2999999999999992E-3</v>
          </cell>
          <cell r="FF84">
            <v>3.7000000000000002E-3</v>
          </cell>
          <cell r="FG84">
            <v>8.3000000000000001E-3</v>
          </cell>
          <cell r="FH84">
            <v>1.9E-3</v>
          </cell>
          <cell r="FI84">
            <v>2.76E-2</v>
          </cell>
          <cell r="FJ84">
            <v>2.4E-2</v>
          </cell>
          <cell r="FK84">
            <v>2.47E-2</v>
          </cell>
          <cell r="FL84">
            <v>2.1100000000000001E-2</v>
          </cell>
          <cell r="FM84">
            <v>2.76E-2</v>
          </cell>
          <cell r="FN84">
            <v>2.4E-2</v>
          </cell>
          <cell r="FO84">
            <v>2.47E-2</v>
          </cell>
          <cell r="FP84">
            <v>2.1100000000000001E-2</v>
          </cell>
          <cell r="FQ84">
            <v>1.2800000000000001E-2</v>
          </cell>
          <cell r="FR84">
            <v>7.4000000000000003E-3</v>
          </cell>
          <cell r="FS84">
            <v>1.0699999999999999E-2</v>
          </cell>
          <cell r="FT84">
            <v>3.8E-3</v>
          </cell>
          <cell r="FU84">
            <v>1.41E-2</v>
          </cell>
          <cell r="FV84">
            <v>1.14E-2</v>
          </cell>
          <cell r="FW84">
            <v>1.11E-2</v>
          </cell>
          <cell r="FX84">
            <v>6.4000000000000003E-3</v>
          </cell>
          <cell r="FY84">
            <v>9.2999999999999992E-3</v>
          </cell>
          <cell r="FZ84">
            <v>3.3E-3</v>
          </cell>
          <cell r="GA84">
            <v>1.11E-2</v>
          </cell>
          <cell r="GB84">
            <v>6.4000000000000003E-3</v>
          </cell>
          <cell r="GC84">
            <v>9.2999999999999992E-3</v>
          </cell>
          <cell r="GD84">
            <v>3.3E-3</v>
          </cell>
          <cell r="GE84">
            <v>2.18E-2</v>
          </cell>
          <cell r="GF84">
            <v>1.9300000000000001E-2</v>
          </cell>
          <cell r="GG84">
            <v>1.9799999999999998E-2</v>
          </cell>
          <cell r="GH84">
            <v>1.6299999999999999E-2</v>
          </cell>
          <cell r="GI84">
            <v>2.18E-2</v>
          </cell>
          <cell r="GJ84">
            <v>1.9300000000000001E-2</v>
          </cell>
          <cell r="GK84">
            <v>1.9799999999999998E-2</v>
          </cell>
          <cell r="GL84">
            <v>1.6299999999999999E-2</v>
          </cell>
          <cell r="GM84">
            <v>1.2800000000000001E-2</v>
          </cell>
          <cell r="GN84">
            <v>5.4000000000000003E-3</v>
          </cell>
          <cell r="GO84">
            <v>1.0699999999999999E-2</v>
          </cell>
          <cell r="GP84">
            <v>2.8999999999999998E-3</v>
          </cell>
          <cell r="GQ84">
            <v>1.41E-2</v>
          </cell>
          <cell r="GR84">
            <v>8.3999999999999995E-3</v>
          </cell>
          <cell r="GS84">
            <v>1.11E-2</v>
          </cell>
          <cell r="GT84">
            <v>4.7000000000000002E-3</v>
          </cell>
          <cell r="GU84">
            <v>9.2999999999999992E-3</v>
          </cell>
          <cell r="GV84">
            <v>2.5000000000000001E-3</v>
          </cell>
          <cell r="GW84">
            <v>1.11E-2</v>
          </cell>
          <cell r="GX84">
            <v>4.7000000000000002E-3</v>
          </cell>
          <cell r="GY84">
            <v>9.2999999999999992E-3</v>
          </cell>
          <cell r="GZ84">
            <v>2.5000000000000001E-3</v>
          </cell>
          <cell r="HA84">
            <v>2.18E-2</v>
          </cell>
          <cell r="HB84">
            <v>1.9300000000000001E-2</v>
          </cell>
          <cell r="HC84">
            <v>1.9799999999999998E-2</v>
          </cell>
          <cell r="HD84">
            <v>1.6299999999999999E-2</v>
          </cell>
          <cell r="HE84">
            <v>2.18E-2</v>
          </cell>
          <cell r="HF84">
            <v>1.9300000000000001E-2</v>
          </cell>
          <cell r="HG84">
            <v>1.9799999999999998E-2</v>
          </cell>
          <cell r="HH84">
            <v>1.6299999999999999E-2</v>
          </cell>
          <cell r="HI84">
            <v>1.29E-2</v>
          </cell>
          <cell r="HJ84">
            <v>6.1000000000000004E-3</v>
          </cell>
          <cell r="HK84">
            <v>1.0699999999999999E-2</v>
          </cell>
          <cell r="HL84">
            <v>3.2000000000000002E-3</v>
          </cell>
          <cell r="HM84">
            <v>1.4200000000000001E-2</v>
          </cell>
          <cell r="HN84">
            <v>9.2999999999999992E-3</v>
          </cell>
          <cell r="HO84">
            <v>1.12E-2</v>
          </cell>
          <cell r="HP84">
            <v>5.3E-3</v>
          </cell>
          <cell r="HQ84">
            <v>9.2999999999999992E-3</v>
          </cell>
          <cell r="HR84">
            <v>2.8000000000000001E-2</v>
          </cell>
          <cell r="HS84">
            <v>1.12E-2</v>
          </cell>
          <cell r="HT84">
            <v>5.3E-3</v>
          </cell>
          <cell r="HU84">
            <v>9.2999999999999992E-3</v>
          </cell>
          <cell r="HV84">
            <v>2.8000000000000001E-2</v>
          </cell>
          <cell r="HW84" t="str">
            <v>%PPL</v>
          </cell>
        </row>
        <row r="85">
          <cell r="AV85" t="str">
            <v>IPR Pluggable Modules Accessories</v>
          </cell>
          <cell r="AW85">
            <v>0.7</v>
          </cell>
          <cell r="AX85">
            <v>0.62</v>
          </cell>
          <cell r="AY85">
            <v>0.65</v>
          </cell>
          <cell r="AZ85">
            <v>0.6</v>
          </cell>
          <cell r="BA85">
            <v>0.56000000000000005</v>
          </cell>
          <cell r="BB85">
            <v>0.65</v>
          </cell>
          <cell r="BC85">
            <v>0.6</v>
          </cell>
          <cell r="BD85">
            <v>0.56000000000000005</v>
          </cell>
          <cell r="BE85">
            <v>0.65</v>
          </cell>
          <cell r="BF85">
            <v>0.4</v>
          </cell>
          <cell r="BG85">
            <v>0.4</v>
          </cell>
          <cell r="BH85">
            <v>0.65</v>
          </cell>
          <cell r="BI85">
            <v>0.67</v>
          </cell>
          <cell r="BJ85">
            <v>0.6</v>
          </cell>
          <cell r="BK85">
            <v>2.5000000000000001E-2</v>
          </cell>
          <cell r="BL85" t="str">
            <v>%PMP</v>
          </cell>
          <cell r="BM85">
            <v>1.3779928125000002E-2</v>
          </cell>
          <cell r="BN85">
            <v>1.0122413793103449E-2</v>
          </cell>
          <cell r="BO85">
            <v>1.2878437500000001E-2</v>
          </cell>
          <cell r="BP85">
            <v>7.5672413793103459E-3</v>
          </cell>
          <cell r="BQ85">
            <v>1.3779928125000002E-2</v>
          </cell>
          <cell r="BR85">
            <v>1.0122413793103449E-2</v>
          </cell>
          <cell r="BS85">
            <v>1.2878437500000001E-2</v>
          </cell>
          <cell r="BT85">
            <v>7.5672413793103459E-3</v>
          </cell>
          <cell r="BU85">
            <v>1.2878437500000001E-2</v>
          </cell>
          <cell r="BV85">
            <v>5.2517187499999994E-3</v>
          </cell>
          <cell r="BW85">
            <v>1.0732812499999999E-2</v>
          </cell>
          <cell r="BX85">
            <v>2.5035937500000002E-3</v>
          </cell>
          <cell r="BY85">
            <v>1.4166281250000003E-2</v>
          </cell>
          <cell r="BZ85">
            <v>8.0876468749999982E-3</v>
          </cell>
          <cell r="CA85">
            <v>1.0302749999999999E-2</v>
          </cell>
          <cell r="CB85">
            <v>4.2013750000000002E-3</v>
          </cell>
          <cell r="CC85">
            <v>8.5862500000000001E-3</v>
          </cell>
          <cell r="CD85">
            <v>2.0028749999999994E-3</v>
          </cell>
          <cell r="CE85">
            <v>1.0302749999999999E-2</v>
          </cell>
          <cell r="CF85">
            <v>4.2013750000000002E-3</v>
          </cell>
          <cell r="CG85">
            <v>8.5862500000000001E-3</v>
          </cell>
          <cell r="CH85">
            <v>2.0028749999999994E-3</v>
          </cell>
          <cell r="CI85">
            <v>1.2918243750000001E-2</v>
          </cell>
          <cell r="CJ85">
            <v>9.5789342034462103E-3</v>
          </cell>
          <cell r="CK85">
            <v>1.2073125000000001E-2</v>
          </cell>
          <cell r="CL85">
            <v>8.1543747578054927E-3</v>
          </cell>
          <cell r="CM85">
            <v>1.2918243750000001E-2</v>
          </cell>
          <cell r="CN85">
            <v>9.5789342034462103E-3</v>
          </cell>
          <cell r="CO85">
            <v>1.2073125000000001E-2</v>
          </cell>
          <cell r="CP85">
            <v>8.1543747578054927E-3</v>
          </cell>
          <cell r="CQ85">
            <v>1.2073125000000001E-2</v>
          </cell>
          <cell r="CR85">
            <v>4.8415625000000004E-3</v>
          </cell>
          <cell r="CS85">
            <v>1.0873749999999998E-2</v>
          </cell>
          <cell r="CT85">
            <v>2.5481249999999996E-3</v>
          </cell>
          <cell r="CU85">
            <v>8.5250000000000013E-3</v>
          </cell>
          <cell r="CV85">
            <v>4.2349999999999992E-3</v>
          </cell>
          <cell r="CW85">
            <v>9.6624999999999992E-3</v>
          </cell>
          <cell r="CX85">
            <v>3.8812500000000002E-3</v>
          </cell>
          <cell r="CY85">
            <v>8.6949999999999996E-3</v>
          </cell>
          <cell r="CZ85">
            <v>2.0384999999999999E-3</v>
          </cell>
          <cell r="DA85">
            <v>9.6624999999999992E-3</v>
          </cell>
          <cell r="DB85">
            <v>3.8812500000000002E-3</v>
          </cell>
          <cell r="DC85">
            <v>8.6949999999999996E-3</v>
          </cell>
          <cell r="DD85">
            <v>2.0384999999999999E-3</v>
          </cell>
          <cell r="DE85">
            <v>1.12E-2</v>
          </cell>
          <cell r="DF85">
            <v>4.4000000000000003E-3</v>
          </cell>
          <cell r="DG85">
            <v>9.1199999999999996E-3</v>
          </cell>
          <cell r="DH85">
            <v>4.1000000000000003E-3</v>
          </cell>
          <cell r="DI85">
            <v>1.1984E-2</v>
          </cell>
          <cell r="DJ85">
            <v>1.0699999999999999E-2</v>
          </cell>
          <cell r="DK85">
            <v>1.12E-2</v>
          </cell>
          <cell r="DL85">
            <v>9.8399999999999998E-3</v>
          </cell>
          <cell r="DM85">
            <v>1.1984E-2</v>
          </cell>
          <cell r="DN85">
            <v>1.0059999999999999E-2</v>
          </cell>
          <cell r="DO85">
            <v>1.12E-2</v>
          </cell>
          <cell r="DP85">
            <v>9.1699999999999993E-3</v>
          </cell>
          <cell r="DQ85">
            <v>1.1984E-2</v>
          </cell>
          <cell r="DR85">
            <v>1.0699999999999999E-2</v>
          </cell>
          <cell r="DS85">
            <v>1.12E-2</v>
          </cell>
          <cell r="DT85">
            <v>9.8399999999999998E-3</v>
          </cell>
          <cell r="DU85">
            <v>1.12E-2</v>
          </cell>
          <cell r="DV85">
            <v>4.4000000000000003E-3</v>
          </cell>
          <cell r="DW85">
            <v>0.01</v>
          </cell>
          <cell r="DX85">
            <v>2.3E-3</v>
          </cell>
          <cell r="DY85">
            <v>1.23E-2</v>
          </cell>
          <cell r="DZ85">
            <v>6.7999999999999996E-3</v>
          </cell>
          <cell r="EA85">
            <v>9.2999999999999992E-3</v>
          </cell>
          <cell r="EB85">
            <v>3.7000000000000002E-3</v>
          </cell>
          <cell r="EC85">
            <v>8.3000000000000001E-3</v>
          </cell>
          <cell r="ED85">
            <v>1.9E-3</v>
          </cell>
          <cell r="EE85">
            <v>9.2999999999999992E-3</v>
          </cell>
          <cell r="EF85">
            <v>3.7000000000000002E-3</v>
          </cell>
          <cell r="EG85">
            <v>8.3000000000000001E-3</v>
          </cell>
          <cell r="EH85">
            <v>1.9E-3</v>
          </cell>
          <cell r="EI85">
            <v>1.1984E-2</v>
          </cell>
          <cell r="EJ85">
            <v>1.0699999999999999E-2</v>
          </cell>
          <cell r="EK85">
            <v>1.12E-2</v>
          </cell>
          <cell r="EL85">
            <v>9.8399999999999998E-3</v>
          </cell>
          <cell r="EM85">
            <v>1.1984E-2</v>
          </cell>
          <cell r="EN85">
            <v>1.0059999999999999E-2</v>
          </cell>
          <cell r="EO85">
            <v>1.12E-2</v>
          </cell>
          <cell r="EP85">
            <v>9.1699999999999993E-3</v>
          </cell>
          <cell r="EQ85">
            <v>1.1984E-2</v>
          </cell>
          <cell r="ER85">
            <v>1.0699999999999999E-2</v>
          </cell>
          <cell r="ES85">
            <v>1.12E-2</v>
          </cell>
          <cell r="ET85">
            <v>9.8399999999999998E-3</v>
          </cell>
          <cell r="EU85">
            <v>1.12E-2</v>
          </cell>
          <cell r="EV85">
            <v>4.4000000000000003E-3</v>
          </cell>
          <cell r="EW85">
            <v>0.01</v>
          </cell>
          <cell r="EX85">
            <v>2.3E-3</v>
          </cell>
          <cell r="EY85">
            <v>1.23E-2</v>
          </cell>
          <cell r="EZ85">
            <v>6.7999999999999996E-3</v>
          </cell>
          <cell r="FA85">
            <v>9.2999999999999992E-3</v>
          </cell>
          <cell r="FB85">
            <v>3.7000000000000002E-3</v>
          </cell>
          <cell r="FC85">
            <v>8.3000000000000001E-3</v>
          </cell>
          <cell r="FD85">
            <v>1.9E-3</v>
          </cell>
          <cell r="FE85">
            <v>9.2999999999999992E-3</v>
          </cell>
          <cell r="FF85">
            <v>3.7000000000000002E-3</v>
          </cell>
          <cell r="FG85">
            <v>8.3000000000000001E-3</v>
          </cell>
          <cell r="FH85">
            <v>1.9E-3</v>
          </cell>
          <cell r="FI85">
            <v>2.76E-2</v>
          </cell>
          <cell r="FJ85">
            <v>2.4E-2</v>
          </cell>
          <cell r="FK85">
            <v>2.47E-2</v>
          </cell>
          <cell r="FL85">
            <v>2.1100000000000001E-2</v>
          </cell>
          <cell r="FM85">
            <v>2.76E-2</v>
          </cell>
          <cell r="FN85">
            <v>2.4E-2</v>
          </cell>
          <cell r="FO85">
            <v>2.47E-2</v>
          </cell>
          <cell r="FP85">
            <v>2.1100000000000001E-2</v>
          </cell>
          <cell r="FQ85">
            <v>1.2800000000000001E-2</v>
          </cell>
          <cell r="FR85">
            <v>7.4000000000000003E-3</v>
          </cell>
          <cell r="FS85">
            <v>1.0699999999999999E-2</v>
          </cell>
          <cell r="FT85">
            <v>3.8E-3</v>
          </cell>
          <cell r="FU85">
            <v>1.41E-2</v>
          </cell>
          <cell r="FV85">
            <v>1.14E-2</v>
          </cell>
          <cell r="FW85">
            <v>1.11E-2</v>
          </cell>
          <cell r="FX85">
            <v>6.4000000000000003E-3</v>
          </cell>
          <cell r="FY85">
            <v>9.2999999999999992E-3</v>
          </cell>
          <cell r="FZ85">
            <v>3.3E-3</v>
          </cell>
          <cell r="GA85">
            <v>1.11E-2</v>
          </cell>
          <cell r="GB85">
            <v>6.4000000000000003E-3</v>
          </cell>
          <cell r="GC85">
            <v>9.2999999999999992E-3</v>
          </cell>
          <cell r="GD85">
            <v>3.3E-3</v>
          </cell>
          <cell r="GE85">
            <v>2.18E-2</v>
          </cell>
          <cell r="GF85">
            <v>1.9300000000000001E-2</v>
          </cell>
          <cell r="GG85">
            <v>1.9799999999999998E-2</v>
          </cell>
          <cell r="GH85">
            <v>1.6299999999999999E-2</v>
          </cell>
          <cell r="GI85">
            <v>2.18E-2</v>
          </cell>
          <cell r="GJ85">
            <v>1.9300000000000001E-2</v>
          </cell>
          <cell r="GK85">
            <v>1.9799999999999998E-2</v>
          </cell>
          <cell r="GL85">
            <v>1.6299999999999999E-2</v>
          </cell>
          <cell r="GM85">
            <v>1.2800000000000001E-2</v>
          </cell>
          <cell r="GN85">
            <v>5.4000000000000003E-3</v>
          </cell>
          <cell r="GO85">
            <v>1.0699999999999999E-2</v>
          </cell>
          <cell r="GP85">
            <v>2.8999999999999998E-3</v>
          </cell>
          <cell r="GQ85">
            <v>1.41E-2</v>
          </cell>
          <cell r="GR85">
            <v>8.3999999999999995E-3</v>
          </cell>
          <cell r="GS85">
            <v>1.11E-2</v>
          </cell>
          <cell r="GT85">
            <v>4.7000000000000002E-3</v>
          </cell>
          <cell r="GU85">
            <v>9.2999999999999992E-3</v>
          </cell>
          <cell r="GV85">
            <v>2.5000000000000001E-3</v>
          </cell>
          <cell r="GW85">
            <v>1.11E-2</v>
          </cell>
          <cell r="GX85">
            <v>4.7000000000000002E-3</v>
          </cell>
          <cell r="GY85">
            <v>9.2999999999999992E-3</v>
          </cell>
          <cell r="GZ85">
            <v>2.5000000000000001E-3</v>
          </cell>
          <cell r="HA85">
            <v>2.18E-2</v>
          </cell>
          <cell r="HB85">
            <v>1.9300000000000001E-2</v>
          </cell>
          <cell r="HC85">
            <v>1.9799999999999998E-2</v>
          </cell>
          <cell r="HD85">
            <v>1.6299999999999999E-2</v>
          </cell>
          <cell r="HE85">
            <v>2.18E-2</v>
          </cell>
          <cell r="HF85">
            <v>1.9300000000000001E-2</v>
          </cell>
          <cell r="HG85">
            <v>1.9799999999999998E-2</v>
          </cell>
          <cell r="HH85">
            <v>1.6299999999999999E-2</v>
          </cell>
          <cell r="HI85">
            <v>1.29E-2</v>
          </cell>
          <cell r="HJ85">
            <v>6.1000000000000004E-3</v>
          </cell>
          <cell r="HK85">
            <v>1.0699999999999999E-2</v>
          </cell>
          <cell r="HL85">
            <v>3.2000000000000002E-3</v>
          </cell>
          <cell r="HM85">
            <v>1.4200000000000001E-2</v>
          </cell>
          <cell r="HN85">
            <v>9.2999999999999992E-3</v>
          </cell>
          <cell r="HO85">
            <v>1.12E-2</v>
          </cell>
          <cell r="HP85">
            <v>5.3E-3</v>
          </cell>
          <cell r="HQ85">
            <v>9.2999999999999992E-3</v>
          </cell>
          <cell r="HR85">
            <v>2.8000000000000001E-2</v>
          </cell>
          <cell r="HS85">
            <v>1.12E-2</v>
          </cell>
          <cell r="HT85">
            <v>5.3E-3</v>
          </cell>
          <cell r="HU85">
            <v>9.2999999999999992E-3</v>
          </cell>
          <cell r="HV85">
            <v>2.8000000000000001E-2</v>
          </cell>
          <cell r="HW85" t="str">
            <v>%PPL</v>
          </cell>
        </row>
        <row r="86">
          <cell r="AV86" t="str">
            <v>IPR Pluggable Modules Specialized</v>
          </cell>
          <cell r="AW86" t="str">
            <v>Custom</v>
          </cell>
          <cell r="AX86" t="str">
            <v>Custom</v>
          </cell>
          <cell r="AY86" t="str">
            <v>Custom</v>
          </cell>
          <cell r="AZ86" t="str">
            <v>Custom</v>
          </cell>
          <cell r="BA86" t="str">
            <v>Custom</v>
          </cell>
          <cell r="BB86" t="str">
            <v>Custom</v>
          </cell>
          <cell r="BC86" t="str">
            <v>Custom</v>
          </cell>
          <cell r="BD86" t="str">
            <v>Custom</v>
          </cell>
          <cell r="BE86" t="str">
            <v>Custom</v>
          </cell>
          <cell r="BF86" t="str">
            <v>Custom</v>
          </cell>
          <cell r="BG86" t="str">
            <v>Custom</v>
          </cell>
          <cell r="BH86" t="str">
            <v>Custom</v>
          </cell>
          <cell r="BI86" t="str">
            <v>Custom</v>
          </cell>
          <cell r="BJ86" t="str">
            <v>Custom</v>
          </cell>
          <cell r="BK86">
            <v>2.5000000000000001E-2</v>
          </cell>
          <cell r="BL86" t="str">
            <v>%PMP</v>
          </cell>
          <cell r="BM86">
            <v>1.3779928125000002E-2</v>
          </cell>
          <cell r="BN86">
            <v>1.0122413793103449E-2</v>
          </cell>
          <cell r="BO86">
            <v>1.2878437500000001E-2</v>
          </cell>
          <cell r="BP86">
            <v>7.5672413793103459E-3</v>
          </cell>
          <cell r="BQ86">
            <v>1.3779928125000002E-2</v>
          </cell>
          <cell r="BR86">
            <v>1.0122413793103449E-2</v>
          </cell>
          <cell r="BS86">
            <v>1.2878437500000001E-2</v>
          </cell>
          <cell r="BT86">
            <v>7.5672413793103459E-3</v>
          </cell>
          <cell r="BU86">
            <v>1.2878437500000001E-2</v>
          </cell>
          <cell r="BV86">
            <v>5.2517187499999994E-3</v>
          </cell>
          <cell r="BW86">
            <v>1.0732812499999999E-2</v>
          </cell>
          <cell r="BX86">
            <v>2.5035937500000002E-3</v>
          </cell>
          <cell r="BY86">
            <v>1.4166281250000003E-2</v>
          </cell>
          <cell r="BZ86">
            <v>8.0876468749999982E-3</v>
          </cell>
          <cell r="CA86">
            <v>1.0302749999999999E-2</v>
          </cell>
          <cell r="CB86">
            <v>4.2013750000000002E-3</v>
          </cell>
          <cell r="CC86">
            <v>8.5862500000000001E-3</v>
          </cell>
          <cell r="CD86">
            <v>2.0028749999999994E-3</v>
          </cell>
          <cell r="CE86">
            <v>1.0302749999999999E-2</v>
          </cell>
          <cell r="CF86">
            <v>4.2013750000000002E-3</v>
          </cell>
          <cell r="CG86">
            <v>8.5862500000000001E-3</v>
          </cell>
          <cell r="CH86">
            <v>2.0028749999999994E-3</v>
          </cell>
          <cell r="CI86">
            <v>1.2918243750000001E-2</v>
          </cell>
          <cell r="CJ86">
            <v>9.5789342034462103E-3</v>
          </cell>
          <cell r="CK86">
            <v>1.2073125000000001E-2</v>
          </cell>
          <cell r="CL86">
            <v>8.1543747578054927E-3</v>
          </cell>
          <cell r="CM86">
            <v>1.2918243750000001E-2</v>
          </cell>
          <cell r="CN86">
            <v>9.5789342034462103E-3</v>
          </cell>
          <cell r="CO86">
            <v>1.2073125000000001E-2</v>
          </cell>
          <cell r="CP86">
            <v>8.1543747578054927E-3</v>
          </cell>
          <cell r="CQ86">
            <v>1.2073125000000001E-2</v>
          </cell>
          <cell r="CR86">
            <v>4.8415625000000004E-3</v>
          </cell>
          <cell r="CS86">
            <v>1.0873749999999998E-2</v>
          </cell>
          <cell r="CT86">
            <v>2.5481249999999996E-3</v>
          </cell>
          <cell r="CU86">
            <v>8.5250000000000013E-3</v>
          </cell>
          <cell r="CV86">
            <v>4.2349999999999992E-3</v>
          </cell>
          <cell r="CW86">
            <v>9.6624999999999992E-3</v>
          </cell>
          <cell r="CX86">
            <v>3.8812500000000002E-3</v>
          </cell>
          <cell r="CY86">
            <v>8.6949999999999996E-3</v>
          </cell>
          <cell r="CZ86">
            <v>2.0384999999999999E-3</v>
          </cell>
          <cell r="DA86">
            <v>9.6624999999999992E-3</v>
          </cell>
          <cell r="DB86">
            <v>3.8812500000000002E-3</v>
          </cell>
          <cell r="DC86">
            <v>8.6949999999999996E-3</v>
          </cell>
          <cell r="DD86">
            <v>2.0384999999999999E-3</v>
          </cell>
          <cell r="DE86">
            <v>1.12E-2</v>
          </cell>
          <cell r="DF86">
            <v>4.4000000000000003E-3</v>
          </cell>
          <cell r="DG86">
            <v>9.1199999999999996E-3</v>
          </cell>
          <cell r="DH86">
            <v>4.1000000000000003E-3</v>
          </cell>
          <cell r="DI86">
            <v>1.1984E-2</v>
          </cell>
          <cell r="DJ86">
            <v>1.0699999999999999E-2</v>
          </cell>
          <cell r="DK86">
            <v>1.12E-2</v>
          </cell>
          <cell r="DL86">
            <v>9.8399999999999998E-3</v>
          </cell>
          <cell r="DM86">
            <v>1.1984E-2</v>
          </cell>
          <cell r="DN86">
            <v>1.0059999999999999E-2</v>
          </cell>
          <cell r="DO86">
            <v>1.12E-2</v>
          </cell>
          <cell r="DP86">
            <v>9.1699999999999993E-3</v>
          </cell>
          <cell r="DQ86">
            <v>1.1984E-2</v>
          </cell>
          <cell r="DR86">
            <v>1.0699999999999999E-2</v>
          </cell>
          <cell r="DS86">
            <v>1.12E-2</v>
          </cell>
          <cell r="DT86">
            <v>9.8399999999999998E-3</v>
          </cell>
          <cell r="DU86">
            <v>1.12E-2</v>
          </cell>
          <cell r="DV86">
            <v>4.4000000000000003E-3</v>
          </cell>
          <cell r="DW86">
            <v>0.01</v>
          </cell>
          <cell r="DX86">
            <v>2.3E-3</v>
          </cell>
          <cell r="DY86">
            <v>1.23E-2</v>
          </cell>
          <cell r="DZ86">
            <v>6.7999999999999996E-3</v>
          </cell>
          <cell r="EA86">
            <v>9.2999999999999992E-3</v>
          </cell>
          <cell r="EB86">
            <v>3.7000000000000002E-3</v>
          </cell>
          <cell r="EC86">
            <v>8.3000000000000001E-3</v>
          </cell>
          <cell r="ED86">
            <v>1.9E-3</v>
          </cell>
          <cell r="EE86">
            <v>9.2999999999999992E-3</v>
          </cell>
          <cell r="EF86">
            <v>3.7000000000000002E-3</v>
          </cell>
          <cell r="EG86">
            <v>8.3000000000000001E-3</v>
          </cell>
          <cell r="EH86">
            <v>1.9E-3</v>
          </cell>
          <cell r="EI86">
            <v>1.1984E-2</v>
          </cell>
          <cell r="EJ86">
            <v>1.0699999999999999E-2</v>
          </cell>
          <cell r="EK86">
            <v>1.12E-2</v>
          </cell>
          <cell r="EL86">
            <v>9.8399999999999998E-3</v>
          </cell>
          <cell r="EM86">
            <v>1.1984E-2</v>
          </cell>
          <cell r="EN86">
            <v>1.0059999999999999E-2</v>
          </cell>
          <cell r="EO86">
            <v>1.12E-2</v>
          </cell>
          <cell r="EP86">
            <v>9.1699999999999993E-3</v>
          </cell>
          <cell r="EQ86">
            <v>1.1984E-2</v>
          </cell>
          <cell r="ER86">
            <v>1.0699999999999999E-2</v>
          </cell>
          <cell r="ES86">
            <v>1.12E-2</v>
          </cell>
          <cell r="ET86">
            <v>9.8399999999999998E-3</v>
          </cell>
          <cell r="EU86">
            <v>1.12E-2</v>
          </cell>
          <cell r="EV86">
            <v>4.4000000000000003E-3</v>
          </cell>
          <cell r="EW86">
            <v>0.01</v>
          </cell>
          <cell r="EX86">
            <v>2.3E-3</v>
          </cell>
          <cell r="EY86">
            <v>1.23E-2</v>
          </cell>
          <cell r="EZ86">
            <v>6.7999999999999996E-3</v>
          </cell>
          <cell r="FA86">
            <v>9.2999999999999992E-3</v>
          </cell>
          <cell r="FB86">
            <v>3.7000000000000002E-3</v>
          </cell>
          <cell r="FC86">
            <v>8.3000000000000001E-3</v>
          </cell>
          <cell r="FD86">
            <v>1.9E-3</v>
          </cell>
          <cell r="FE86">
            <v>9.2999999999999992E-3</v>
          </cell>
          <cell r="FF86">
            <v>3.7000000000000002E-3</v>
          </cell>
          <cell r="FG86">
            <v>8.3000000000000001E-3</v>
          </cell>
          <cell r="FH86">
            <v>1.9E-3</v>
          </cell>
          <cell r="FI86">
            <v>2.76E-2</v>
          </cell>
          <cell r="FJ86">
            <v>2.4E-2</v>
          </cell>
          <cell r="FK86">
            <v>2.47E-2</v>
          </cell>
          <cell r="FL86">
            <v>2.1100000000000001E-2</v>
          </cell>
          <cell r="FM86">
            <v>2.76E-2</v>
          </cell>
          <cell r="FN86">
            <v>2.4E-2</v>
          </cell>
          <cell r="FO86">
            <v>2.47E-2</v>
          </cell>
          <cell r="FP86">
            <v>2.1100000000000001E-2</v>
          </cell>
          <cell r="FQ86">
            <v>1.2800000000000001E-2</v>
          </cell>
          <cell r="FR86">
            <v>7.4000000000000003E-3</v>
          </cell>
          <cell r="FS86">
            <v>1.0699999999999999E-2</v>
          </cell>
          <cell r="FT86">
            <v>3.8E-3</v>
          </cell>
          <cell r="FU86">
            <v>1.41E-2</v>
          </cell>
          <cell r="FV86">
            <v>1.14E-2</v>
          </cell>
          <cell r="FW86">
            <v>1.11E-2</v>
          </cell>
          <cell r="FX86">
            <v>6.4000000000000003E-3</v>
          </cell>
          <cell r="FY86">
            <v>9.2999999999999992E-3</v>
          </cell>
          <cell r="FZ86">
            <v>3.3E-3</v>
          </cell>
          <cell r="GA86">
            <v>1.11E-2</v>
          </cell>
          <cell r="GB86">
            <v>6.4000000000000003E-3</v>
          </cell>
          <cell r="GC86">
            <v>9.2999999999999992E-3</v>
          </cell>
          <cell r="GD86">
            <v>3.3E-3</v>
          </cell>
          <cell r="GE86">
            <v>2.18E-2</v>
          </cell>
          <cell r="GF86">
            <v>1.9300000000000001E-2</v>
          </cell>
          <cell r="GG86">
            <v>1.9799999999999998E-2</v>
          </cell>
          <cell r="GH86">
            <v>1.6299999999999999E-2</v>
          </cell>
          <cell r="GI86">
            <v>2.18E-2</v>
          </cell>
          <cell r="GJ86">
            <v>1.9300000000000001E-2</v>
          </cell>
          <cell r="GK86">
            <v>1.9799999999999998E-2</v>
          </cell>
          <cell r="GL86">
            <v>1.6299999999999999E-2</v>
          </cell>
          <cell r="GM86">
            <v>1.2800000000000001E-2</v>
          </cell>
          <cell r="GN86">
            <v>5.4000000000000003E-3</v>
          </cell>
          <cell r="GO86">
            <v>1.0699999999999999E-2</v>
          </cell>
          <cell r="GP86">
            <v>2.8999999999999998E-3</v>
          </cell>
          <cell r="GQ86">
            <v>1.41E-2</v>
          </cell>
          <cell r="GR86">
            <v>8.3999999999999995E-3</v>
          </cell>
          <cell r="GS86">
            <v>1.11E-2</v>
          </cell>
          <cell r="GT86">
            <v>4.7000000000000002E-3</v>
          </cell>
          <cell r="GU86">
            <v>9.2999999999999992E-3</v>
          </cell>
          <cell r="GV86">
            <v>2.5000000000000001E-3</v>
          </cell>
          <cell r="GW86">
            <v>1.11E-2</v>
          </cell>
          <cell r="GX86">
            <v>4.7000000000000002E-3</v>
          </cell>
          <cell r="GY86">
            <v>9.2999999999999992E-3</v>
          </cell>
          <cell r="GZ86">
            <v>2.5000000000000001E-3</v>
          </cell>
          <cell r="HA86">
            <v>2.18E-2</v>
          </cell>
          <cell r="HB86">
            <v>1.9300000000000001E-2</v>
          </cell>
          <cell r="HC86">
            <v>1.9799999999999998E-2</v>
          </cell>
          <cell r="HD86">
            <v>1.6299999999999999E-2</v>
          </cell>
          <cell r="HE86">
            <v>2.18E-2</v>
          </cell>
          <cell r="HF86">
            <v>1.9300000000000001E-2</v>
          </cell>
          <cell r="HG86">
            <v>1.9799999999999998E-2</v>
          </cell>
          <cell r="HH86">
            <v>1.6299999999999999E-2</v>
          </cell>
          <cell r="HI86">
            <v>1.29E-2</v>
          </cell>
          <cell r="HJ86">
            <v>6.1000000000000004E-3</v>
          </cell>
          <cell r="HK86">
            <v>1.0699999999999999E-2</v>
          </cell>
          <cell r="HL86">
            <v>3.2000000000000002E-3</v>
          </cell>
          <cell r="HM86">
            <v>1.4200000000000001E-2</v>
          </cell>
          <cell r="HN86">
            <v>9.2999999999999992E-3</v>
          </cell>
          <cell r="HO86">
            <v>1.12E-2</v>
          </cell>
          <cell r="HP86">
            <v>5.3E-3</v>
          </cell>
          <cell r="HQ86">
            <v>9.2999999999999992E-3</v>
          </cell>
          <cell r="HR86">
            <v>2.8000000000000001E-2</v>
          </cell>
          <cell r="HS86">
            <v>1.12E-2</v>
          </cell>
          <cell r="HT86">
            <v>5.3E-3</v>
          </cell>
          <cell r="HU86">
            <v>9.2999999999999992E-3</v>
          </cell>
          <cell r="HV86">
            <v>2.8000000000000001E-2</v>
          </cell>
          <cell r="HW86" t="str">
            <v>%PPL</v>
          </cell>
        </row>
        <row r="87">
          <cell r="AV87" t="str">
            <v>IPR Pluggable Modules 400G /QSFP56-DD</v>
          </cell>
          <cell r="AW87">
            <v>0.83499999999999996</v>
          </cell>
          <cell r="AX87">
            <v>0.63</v>
          </cell>
          <cell r="AY87">
            <v>0.7</v>
          </cell>
          <cell r="AZ87">
            <v>0.8</v>
          </cell>
          <cell r="BA87">
            <v>0.66300000000000003</v>
          </cell>
          <cell r="BB87">
            <v>0.7</v>
          </cell>
          <cell r="BC87">
            <v>0.8</v>
          </cell>
          <cell r="BD87">
            <v>0.66300000000000003</v>
          </cell>
          <cell r="BE87">
            <v>0.7</v>
          </cell>
          <cell r="BF87">
            <v>0.65</v>
          </cell>
          <cell r="BG87">
            <v>0.65</v>
          </cell>
          <cell r="BH87">
            <v>0.7</v>
          </cell>
          <cell r="BI87">
            <v>0.86</v>
          </cell>
          <cell r="BJ87">
            <v>0.6</v>
          </cell>
          <cell r="BK87">
            <v>2.5000000000000001E-2</v>
          </cell>
          <cell r="BL87" t="str">
            <v>%PMP</v>
          </cell>
          <cell r="BM87">
            <v>1.3779928125000002E-2</v>
          </cell>
          <cell r="BN87">
            <v>1.0122413793103449E-2</v>
          </cell>
          <cell r="BO87">
            <v>1.2878437500000001E-2</v>
          </cell>
          <cell r="BP87">
            <v>7.5672413793103459E-3</v>
          </cell>
          <cell r="BQ87">
            <v>1.3779928125000002E-2</v>
          </cell>
          <cell r="BR87">
            <v>1.0122413793103449E-2</v>
          </cell>
          <cell r="BS87">
            <v>1.2878437500000001E-2</v>
          </cell>
          <cell r="BT87">
            <v>7.5672413793103459E-3</v>
          </cell>
          <cell r="BU87">
            <v>1.2878437500000001E-2</v>
          </cell>
          <cell r="BV87">
            <v>5.2517187499999994E-3</v>
          </cell>
          <cell r="BW87">
            <v>1.0732812499999999E-2</v>
          </cell>
          <cell r="BX87">
            <v>2.5035937500000002E-3</v>
          </cell>
          <cell r="BY87">
            <v>1.4166281250000003E-2</v>
          </cell>
          <cell r="BZ87">
            <v>8.0876468749999982E-3</v>
          </cell>
          <cell r="CA87">
            <v>1.0302749999999999E-2</v>
          </cell>
          <cell r="CB87">
            <v>4.2013750000000002E-3</v>
          </cell>
          <cell r="CC87">
            <v>8.5862500000000001E-3</v>
          </cell>
          <cell r="CD87">
            <v>2.0028749999999994E-3</v>
          </cell>
          <cell r="CE87">
            <v>1.0302749999999999E-2</v>
          </cell>
          <cell r="CF87">
            <v>4.2013750000000002E-3</v>
          </cell>
          <cell r="CG87">
            <v>8.5862500000000001E-3</v>
          </cell>
          <cell r="CH87">
            <v>2.0028749999999994E-3</v>
          </cell>
          <cell r="CI87">
            <v>1.2918243750000001E-2</v>
          </cell>
          <cell r="CJ87">
            <v>9.5789342034462103E-3</v>
          </cell>
          <cell r="CK87">
            <v>1.2073125000000001E-2</v>
          </cell>
          <cell r="CL87">
            <v>8.1543747578054927E-3</v>
          </cell>
          <cell r="CM87">
            <v>1.2918243750000001E-2</v>
          </cell>
          <cell r="CN87">
            <v>9.5789342034462103E-3</v>
          </cell>
          <cell r="CO87">
            <v>1.2073125000000001E-2</v>
          </cell>
          <cell r="CP87">
            <v>8.1543747578054927E-3</v>
          </cell>
          <cell r="CQ87">
            <v>1.2073125000000001E-2</v>
          </cell>
          <cell r="CR87">
            <v>4.8415625000000004E-3</v>
          </cell>
          <cell r="CS87">
            <v>1.0873749999999998E-2</v>
          </cell>
          <cell r="CT87">
            <v>2.5481249999999996E-3</v>
          </cell>
          <cell r="CU87">
            <v>8.5250000000000013E-3</v>
          </cell>
          <cell r="CV87">
            <v>4.2349999999999992E-3</v>
          </cell>
          <cell r="CW87">
            <v>9.6624999999999992E-3</v>
          </cell>
          <cell r="CX87">
            <v>3.8812500000000002E-3</v>
          </cell>
          <cell r="CY87">
            <v>8.6949999999999996E-3</v>
          </cell>
          <cell r="CZ87">
            <v>2.0384999999999999E-3</v>
          </cell>
          <cell r="DA87">
            <v>9.6624999999999992E-3</v>
          </cell>
          <cell r="DB87">
            <v>3.8812500000000002E-3</v>
          </cell>
          <cell r="DC87">
            <v>8.6949999999999996E-3</v>
          </cell>
          <cell r="DD87">
            <v>2.0384999999999999E-3</v>
          </cell>
          <cell r="DE87">
            <v>1.12E-2</v>
          </cell>
          <cell r="DF87">
            <v>4.4000000000000003E-3</v>
          </cell>
          <cell r="DG87">
            <v>9.1199999999999996E-3</v>
          </cell>
          <cell r="DH87">
            <v>4.1000000000000003E-3</v>
          </cell>
          <cell r="DI87">
            <v>1.1984E-2</v>
          </cell>
          <cell r="DJ87">
            <v>1.0699999999999999E-2</v>
          </cell>
          <cell r="DK87">
            <v>1.12E-2</v>
          </cell>
          <cell r="DL87">
            <v>9.8399999999999998E-3</v>
          </cell>
          <cell r="DM87">
            <v>1.1984E-2</v>
          </cell>
          <cell r="DN87">
            <v>1.0059999999999999E-2</v>
          </cell>
          <cell r="DO87">
            <v>1.12E-2</v>
          </cell>
          <cell r="DP87">
            <v>9.1699999999999993E-3</v>
          </cell>
          <cell r="DQ87">
            <v>1.1984E-2</v>
          </cell>
          <cell r="DR87">
            <v>1.0699999999999999E-2</v>
          </cell>
          <cell r="DS87">
            <v>1.12E-2</v>
          </cell>
          <cell r="DT87">
            <v>9.8399999999999998E-3</v>
          </cell>
          <cell r="DU87">
            <v>1.12E-2</v>
          </cell>
          <cell r="DV87">
            <v>4.4000000000000003E-3</v>
          </cell>
          <cell r="DW87">
            <v>0.01</v>
          </cell>
          <cell r="DX87">
            <v>2.3E-3</v>
          </cell>
          <cell r="DY87">
            <v>1.23E-2</v>
          </cell>
          <cell r="DZ87">
            <v>6.7999999999999996E-3</v>
          </cell>
          <cell r="EA87">
            <v>9.2999999999999992E-3</v>
          </cell>
          <cell r="EB87">
            <v>3.7000000000000002E-3</v>
          </cell>
          <cell r="EC87">
            <v>8.3000000000000001E-3</v>
          </cell>
          <cell r="ED87">
            <v>1.9E-3</v>
          </cell>
          <cell r="EE87">
            <v>9.2999999999999992E-3</v>
          </cell>
          <cell r="EF87">
            <v>3.7000000000000002E-3</v>
          </cell>
          <cell r="EG87">
            <v>8.3000000000000001E-3</v>
          </cell>
          <cell r="EH87">
            <v>1.9E-3</v>
          </cell>
          <cell r="EI87">
            <v>1.1984E-2</v>
          </cell>
          <cell r="EJ87">
            <v>1.0699999999999999E-2</v>
          </cell>
          <cell r="EK87">
            <v>1.12E-2</v>
          </cell>
          <cell r="EL87">
            <v>9.8399999999999998E-3</v>
          </cell>
          <cell r="EM87">
            <v>1.1984E-2</v>
          </cell>
          <cell r="EN87">
            <v>1.0059999999999999E-2</v>
          </cell>
          <cell r="EO87">
            <v>1.12E-2</v>
          </cell>
          <cell r="EP87">
            <v>9.1699999999999993E-3</v>
          </cell>
          <cell r="EQ87">
            <v>1.1984E-2</v>
          </cell>
          <cell r="ER87">
            <v>1.0699999999999999E-2</v>
          </cell>
          <cell r="ES87">
            <v>1.12E-2</v>
          </cell>
          <cell r="ET87">
            <v>9.8399999999999998E-3</v>
          </cell>
          <cell r="EU87">
            <v>1.12E-2</v>
          </cell>
          <cell r="EV87">
            <v>4.4000000000000003E-3</v>
          </cell>
          <cell r="EW87">
            <v>0.01</v>
          </cell>
          <cell r="EX87">
            <v>2.3E-3</v>
          </cell>
          <cell r="EY87">
            <v>1.23E-2</v>
          </cell>
          <cell r="EZ87">
            <v>6.7999999999999996E-3</v>
          </cell>
          <cell r="FA87">
            <v>9.2999999999999992E-3</v>
          </cell>
          <cell r="FB87">
            <v>3.7000000000000002E-3</v>
          </cell>
          <cell r="FC87">
            <v>8.3000000000000001E-3</v>
          </cell>
          <cell r="FD87">
            <v>1.9E-3</v>
          </cell>
          <cell r="FE87">
            <v>9.2999999999999992E-3</v>
          </cell>
          <cell r="FF87">
            <v>3.7000000000000002E-3</v>
          </cell>
          <cell r="FG87">
            <v>8.3000000000000001E-3</v>
          </cell>
          <cell r="FH87">
            <v>1.9E-3</v>
          </cell>
          <cell r="FI87">
            <v>2.76E-2</v>
          </cell>
          <cell r="FJ87">
            <v>2.4E-2</v>
          </cell>
          <cell r="FK87">
            <v>2.47E-2</v>
          </cell>
          <cell r="FL87">
            <v>2.1100000000000001E-2</v>
          </cell>
          <cell r="FM87">
            <v>2.76E-2</v>
          </cell>
          <cell r="FN87">
            <v>2.4E-2</v>
          </cell>
          <cell r="FO87">
            <v>2.47E-2</v>
          </cell>
          <cell r="FP87">
            <v>2.1100000000000001E-2</v>
          </cell>
          <cell r="FQ87">
            <v>1.2800000000000001E-2</v>
          </cell>
          <cell r="FR87">
            <v>7.4000000000000003E-3</v>
          </cell>
          <cell r="FS87">
            <v>1.0699999999999999E-2</v>
          </cell>
          <cell r="FT87">
            <v>3.8E-3</v>
          </cell>
          <cell r="FU87">
            <v>1.41E-2</v>
          </cell>
          <cell r="FV87">
            <v>1.14E-2</v>
          </cell>
          <cell r="FW87">
            <v>1.11E-2</v>
          </cell>
          <cell r="FX87">
            <v>6.4000000000000003E-3</v>
          </cell>
          <cell r="FY87">
            <v>9.2999999999999992E-3</v>
          </cell>
          <cell r="FZ87">
            <v>3.3E-3</v>
          </cell>
          <cell r="GA87">
            <v>1.11E-2</v>
          </cell>
          <cell r="GB87">
            <v>6.4000000000000003E-3</v>
          </cell>
          <cell r="GC87">
            <v>9.2999999999999992E-3</v>
          </cell>
          <cell r="GD87">
            <v>3.3E-3</v>
          </cell>
          <cell r="GE87">
            <v>2.18E-2</v>
          </cell>
          <cell r="GF87">
            <v>1.9300000000000001E-2</v>
          </cell>
          <cell r="GG87">
            <v>1.9799999999999998E-2</v>
          </cell>
          <cell r="GH87">
            <v>1.6299999999999999E-2</v>
          </cell>
          <cell r="GI87">
            <v>2.18E-2</v>
          </cell>
          <cell r="GJ87">
            <v>1.9300000000000001E-2</v>
          </cell>
          <cell r="GK87">
            <v>1.9799999999999998E-2</v>
          </cell>
          <cell r="GL87">
            <v>1.6299999999999999E-2</v>
          </cell>
          <cell r="GM87">
            <v>1.2800000000000001E-2</v>
          </cell>
          <cell r="GN87">
            <v>5.4000000000000003E-3</v>
          </cell>
          <cell r="GO87">
            <v>1.0699999999999999E-2</v>
          </cell>
          <cell r="GP87">
            <v>2.8999999999999998E-3</v>
          </cell>
          <cell r="GQ87">
            <v>1.41E-2</v>
          </cell>
          <cell r="GR87">
            <v>8.3999999999999995E-3</v>
          </cell>
          <cell r="GS87">
            <v>1.11E-2</v>
          </cell>
          <cell r="GT87">
            <v>4.7000000000000002E-3</v>
          </cell>
          <cell r="GU87">
            <v>9.2999999999999992E-3</v>
          </cell>
          <cell r="GV87">
            <v>2.5000000000000001E-3</v>
          </cell>
          <cell r="GW87">
            <v>1.11E-2</v>
          </cell>
          <cell r="GX87">
            <v>4.7000000000000002E-3</v>
          </cell>
          <cell r="GY87">
            <v>9.2999999999999992E-3</v>
          </cell>
          <cell r="GZ87">
            <v>2.5000000000000001E-3</v>
          </cell>
          <cell r="HA87">
            <v>2.18E-2</v>
          </cell>
          <cell r="HB87">
            <v>1.9300000000000001E-2</v>
          </cell>
          <cell r="HC87">
            <v>1.9799999999999998E-2</v>
          </cell>
          <cell r="HD87">
            <v>1.6299999999999999E-2</v>
          </cell>
          <cell r="HE87">
            <v>2.18E-2</v>
          </cell>
          <cell r="HF87">
            <v>1.9300000000000001E-2</v>
          </cell>
          <cell r="HG87">
            <v>1.9799999999999998E-2</v>
          </cell>
          <cell r="HH87">
            <v>1.6299999999999999E-2</v>
          </cell>
          <cell r="HI87">
            <v>1.29E-2</v>
          </cell>
          <cell r="HJ87">
            <v>6.1000000000000004E-3</v>
          </cell>
          <cell r="HK87">
            <v>1.0699999999999999E-2</v>
          </cell>
          <cell r="HL87">
            <v>3.2000000000000002E-3</v>
          </cell>
          <cell r="HM87">
            <v>1.4200000000000001E-2</v>
          </cell>
          <cell r="HN87">
            <v>9.2999999999999992E-3</v>
          </cell>
          <cell r="HO87">
            <v>1.12E-2</v>
          </cell>
          <cell r="HP87">
            <v>5.3E-3</v>
          </cell>
          <cell r="HQ87">
            <v>9.2999999999999992E-3</v>
          </cell>
          <cell r="HR87">
            <v>2.8000000000000001E-2</v>
          </cell>
          <cell r="HS87">
            <v>1.12E-2</v>
          </cell>
          <cell r="HT87">
            <v>5.3E-3</v>
          </cell>
          <cell r="HU87">
            <v>9.2999999999999992E-3</v>
          </cell>
          <cell r="HV87">
            <v>2.8000000000000001E-2</v>
          </cell>
          <cell r="HW87" t="str">
            <v>%PPL</v>
          </cell>
        </row>
        <row r="88">
          <cell r="AV88" t="str">
            <v>NFM-P IPR</v>
          </cell>
          <cell r="AW88">
            <v>0.7</v>
          </cell>
          <cell r="AX88">
            <v>0.7</v>
          </cell>
          <cell r="AY88">
            <v>0.65</v>
          </cell>
          <cell r="AZ88">
            <v>0.6</v>
          </cell>
          <cell r="BA88">
            <v>0.6</v>
          </cell>
          <cell r="BB88">
            <v>0.65</v>
          </cell>
          <cell r="BC88">
            <v>0.6</v>
          </cell>
          <cell r="BD88">
            <v>0.6</v>
          </cell>
          <cell r="BE88">
            <v>0.65</v>
          </cell>
          <cell r="BF88">
            <v>0.68</v>
          </cell>
          <cell r="BG88">
            <v>0.68</v>
          </cell>
          <cell r="BH88">
            <v>0.65</v>
          </cell>
          <cell r="BI88">
            <v>0.6</v>
          </cell>
          <cell r="BJ88">
            <v>0.6</v>
          </cell>
          <cell r="BK88">
            <v>0.2</v>
          </cell>
          <cell r="BL88" t="str">
            <v>%PMP</v>
          </cell>
          <cell r="BM88">
            <v>4.1000000000000003E-3</v>
          </cell>
          <cell r="BN88">
            <v>4.1000000000000003E-3</v>
          </cell>
          <cell r="BO88">
            <v>3.3E-3</v>
          </cell>
          <cell r="BP88">
            <v>3.3E-3</v>
          </cell>
          <cell r="BQ88">
            <v>3.4500000000000003E-2</v>
          </cell>
          <cell r="BR88">
            <v>3.4500000000000003E-2</v>
          </cell>
          <cell r="BS88">
            <v>3.4500000000000003E-2</v>
          </cell>
          <cell r="BT88">
            <v>3.4500000000000003E-2</v>
          </cell>
          <cell r="BU88">
            <v>0.03</v>
          </cell>
          <cell r="BV88">
            <v>0.03</v>
          </cell>
          <cell r="BW88">
            <v>0.03</v>
          </cell>
          <cell r="BX88">
            <v>0.03</v>
          </cell>
          <cell r="BY88">
            <v>0.03</v>
          </cell>
          <cell r="BZ88">
            <v>0.03</v>
          </cell>
          <cell r="CA88">
            <v>2.4E-2</v>
          </cell>
          <cell r="CB88">
            <v>2.4E-2</v>
          </cell>
          <cell r="CC88">
            <v>2.4E-2</v>
          </cell>
          <cell r="CD88">
            <v>2.4E-2</v>
          </cell>
          <cell r="CE88">
            <v>2.4E-2</v>
          </cell>
          <cell r="CF88">
            <v>2.4E-2</v>
          </cell>
          <cell r="CG88">
            <v>2.4E-2</v>
          </cell>
          <cell r="CH88">
            <v>2.4E-2</v>
          </cell>
          <cell r="CI88">
            <v>4.8999999999999998E-3</v>
          </cell>
          <cell r="CJ88">
            <v>4.8999999999999998E-3</v>
          </cell>
          <cell r="CK88">
            <v>4.4000000000000003E-3</v>
          </cell>
          <cell r="CL88">
            <v>4.4000000000000003E-3</v>
          </cell>
          <cell r="CM88">
            <v>3.4500000000000003E-2</v>
          </cell>
          <cell r="CN88">
            <v>3.4500000000000003E-2</v>
          </cell>
          <cell r="CO88">
            <v>3.4500000000000003E-2</v>
          </cell>
          <cell r="CP88">
            <v>3.4500000000000003E-2</v>
          </cell>
          <cell r="CQ88">
            <v>0.03</v>
          </cell>
          <cell r="CR88">
            <v>0.03</v>
          </cell>
          <cell r="CS88">
            <v>0.03</v>
          </cell>
          <cell r="CT88">
            <v>0.03</v>
          </cell>
          <cell r="CU88">
            <v>0.03</v>
          </cell>
          <cell r="CV88">
            <v>0.03</v>
          </cell>
          <cell r="CW88">
            <v>2.4E-2</v>
          </cell>
          <cell r="CX88">
            <v>2.4E-2</v>
          </cell>
          <cell r="CY88">
            <v>2.4E-2</v>
          </cell>
          <cell r="CZ88">
            <v>2.4E-2</v>
          </cell>
          <cell r="DA88">
            <v>2.4E-2</v>
          </cell>
          <cell r="DB88">
            <v>2.4E-2</v>
          </cell>
          <cell r="DC88">
            <v>2.4E-2</v>
          </cell>
          <cell r="DD88">
            <v>2.4E-2</v>
          </cell>
          <cell r="DE88">
            <v>4.1000000000000003E-3</v>
          </cell>
          <cell r="DF88">
            <v>4.1000000000000003E-3</v>
          </cell>
          <cell r="DG88">
            <v>3.3E-3</v>
          </cell>
          <cell r="DH88">
            <v>3.3E-3</v>
          </cell>
          <cell r="DI88">
            <v>3.2100000000000004E-2</v>
          </cell>
          <cell r="DJ88">
            <v>1.84E-2</v>
          </cell>
          <cell r="DK88">
            <v>1.6799999999999999E-2</v>
          </cell>
          <cell r="DL88">
            <v>1.6799999999999999E-2</v>
          </cell>
          <cell r="DM88">
            <v>4.1000000000000003E-3</v>
          </cell>
          <cell r="DN88">
            <v>4.1000000000000003E-3</v>
          </cell>
          <cell r="DO88">
            <v>3.3E-3</v>
          </cell>
          <cell r="DP88">
            <v>3.3E-3</v>
          </cell>
          <cell r="DQ88">
            <v>3.85E-2</v>
          </cell>
          <cell r="DR88">
            <v>3.85E-2</v>
          </cell>
          <cell r="DS88">
            <v>3.85E-2</v>
          </cell>
          <cell r="DT88">
            <v>3.85E-2</v>
          </cell>
          <cell r="DU88">
            <v>0.03</v>
          </cell>
          <cell r="DV88">
            <v>0.03</v>
          </cell>
          <cell r="DW88">
            <v>0.03</v>
          </cell>
          <cell r="DX88">
            <v>0.03</v>
          </cell>
          <cell r="DY88">
            <v>0.03</v>
          </cell>
          <cell r="DZ88">
            <v>0.03</v>
          </cell>
          <cell r="EA88">
            <v>2.4E-2</v>
          </cell>
          <cell r="EB88">
            <v>2.4E-2</v>
          </cell>
          <cell r="EC88">
            <v>2.4E-2</v>
          </cell>
          <cell r="ED88">
            <v>2.4E-2</v>
          </cell>
          <cell r="EE88">
            <v>2.4E-2</v>
          </cell>
          <cell r="EF88">
            <v>2.4E-2</v>
          </cell>
          <cell r="EG88">
            <v>2.4E-2</v>
          </cell>
          <cell r="EH88">
            <v>2.4E-2</v>
          </cell>
          <cell r="EI88">
            <v>1.84E-2</v>
          </cell>
          <cell r="EJ88">
            <v>1.84E-2</v>
          </cell>
          <cell r="EK88">
            <v>1.6799999999999999E-2</v>
          </cell>
          <cell r="EL88">
            <v>1.6799999999999999E-2</v>
          </cell>
          <cell r="EM88">
            <v>4.1000000000000003E-3</v>
          </cell>
          <cell r="EN88">
            <v>4.1000000000000003E-3</v>
          </cell>
          <cell r="EO88">
            <v>3.3E-3</v>
          </cell>
          <cell r="EP88">
            <v>3.3E-3</v>
          </cell>
          <cell r="EQ88">
            <v>3.85E-2</v>
          </cell>
          <cell r="ER88">
            <v>3.85E-2</v>
          </cell>
          <cell r="ES88">
            <v>3.85E-2</v>
          </cell>
          <cell r="ET88">
            <v>3.85E-2</v>
          </cell>
          <cell r="EU88">
            <v>0.03</v>
          </cell>
          <cell r="EV88">
            <v>0.03</v>
          </cell>
          <cell r="EW88">
            <v>0.03</v>
          </cell>
          <cell r="EX88">
            <v>0.03</v>
          </cell>
          <cell r="EY88">
            <v>0.03</v>
          </cell>
          <cell r="EZ88">
            <v>0.03</v>
          </cell>
          <cell r="FA88">
            <v>2.4E-2</v>
          </cell>
          <cell r="FB88">
            <v>2.4E-2</v>
          </cell>
          <cell r="FC88">
            <v>2.4E-2</v>
          </cell>
          <cell r="FD88">
            <v>2.4E-2</v>
          </cell>
          <cell r="FE88">
            <v>2.4E-2</v>
          </cell>
          <cell r="FF88">
            <v>2.4E-2</v>
          </cell>
          <cell r="FG88">
            <v>2.4E-2</v>
          </cell>
          <cell r="FH88">
            <v>2.4E-2</v>
          </cell>
          <cell r="FI88">
            <v>6.6E-3</v>
          </cell>
          <cell r="FJ88">
            <v>6.6E-3</v>
          </cell>
          <cell r="FK88">
            <v>5.4999999999999997E-3</v>
          </cell>
          <cell r="FL88">
            <v>5.4999999999999997E-3</v>
          </cell>
          <cell r="FM88">
            <v>0.04</v>
          </cell>
          <cell r="FN88">
            <v>0.04</v>
          </cell>
          <cell r="FO88">
            <v>0.04</v>
          </cell>
          <cell r="FP88">
            <v>0.04</v>
          </cell>
          <cell r="FQ88">
            <v>0.03</v>
          </cell>
          <cell r="FR88">
            <v>0.03</v>
          </cell>
          <cell r="FS88">
            <v>0.03</v>
          </cell>
          <cell r="FT88">
            <v>0.03</v>
          </cell>
          <cell r="FU88">
            <v>0.03</v>
          </cell>
          <cell r="FV88">
            <v>0.03</v>
          </cell>
          <cell r="FW88">
            <v>2.4E-2</v>
          </cell>
          <cell r="FX88">
            <v>2.4E-2</v>
          </cell>
          <cell r="FY88">
            <v>2.4E-2</v>
          </cell>
          <cell r="FZ88">
            <v>2.4E-2</v>
          </cell>
          <cell r="GA88">
            <v>2.4E-2</v>
          </cell>
          <cell r="GB88">
            <v>2.4E-2</v>
          </cell>
          <cell r="GC88">
            <v>2.4E-2</v>
          </cell>
          <cell r="GD88">
            <v>2.4E-2</v>
          </cell>
          <cell r="GE88">
            <v>5.1999999999999998E-3</v>
          </cell>
          <cell r="GF88">
            <v>5.1999999999999998E-3</v>
          </cell>
          <cell r="GG88">
            <v>4.3E-3</v>
          </cell>
          <cell r="GH88">
            <v>4.3E-3</v>
          </cell>
          <cell r="GI88">
            <v>0.04</v>
          </cell>
          <cell r="GJ88">
            <v>0.04</v>
          </cell>
          <cell r="GK88">
            <v>0.04</v>
          </cell>
          <cell r="GL88">
            <v>0.04</v>
          </cell>
          <cell r="GM88">
            <v>0.03</v>
          </cell>
          <cell r="GN88">
            <v>0.03</v>
          </cell>
          <cell r="GO88">
            <v>0.03</v>
          </cell>
          <cell r="GP88">
            <v>0.03</v>
          </cell>
          <cell r="GQ88">
            <v>0.03</v>
          </cell>
          <cell r="GR88">
            <v>0.03</v>
          </cell>
          <cell r="GS88">
            <v>2.4E-2</v>
          </cell>
          <cell r="GT88">
            <v>2.4E-2</v>
          </cell>
          <cell r="GU88">
            <v>2.4E-2</v>
          </cell>
          <cell r="GV88">
            <v>2.4E-2</v>
          </cell>
          <cell r="GW88">
            <v>2.4E-2</v>
          </cell>
          <cell r="GX88">
            <v>2.4E-2</v>
          </cell>
          <cell r="GY88">
            <v>2.4E-2</v>
          </cell>
          <cell r="GZ88">
            <v>2.4E-2</v>
          </cell>
          <cell r="HA88">
            <v>5.1999999999999998E-3</v>
          </cell>
          <cell r="HB88">
            <v>5.1999999999999998E-3</v>
          </cell>
          <cell r="HC88">
            <v>4.3E-3</v>
          </cell>
          <cell r="HD88">
            <v>4.3E-3</v>
          </cell>
          <cell r="HE88">
            <v>0.04</v>
          </cell>
          <cell r="HF88">
            <v>0.04</v>
          </cell>
          <cell r="HG88">
            <v>0.04</v>
          </cell>
          <cell r="HH88">
            <v>0.04</v>
          </cell>
          <cell r="HI88">
            <v>0.03</v>
          </cell>
          <cell r="HJ88">
            <v>0.03</v>
          </cell>
          <cell r="HK88">
            <v>0.03</v>
          </cell>
          <cell r="HL88">
            <v>0.03</v>
          </cell>
          <cell r="HM88">
            <v>2.3599999999999999E-2</v>
          </cell>
          <cell r="HN88">
            <v>1.5900000000000001E-2</v>
          </cell>
          <cell r="HO88">
            <v>2.4E-2</v>
          </cell>
          <cell r="HP88">
            <v>2.4E-2</v>
          </cell>
          <cell r="HQ88">
            <v>2.4E-2</v>
          </cell>
          <cell r="HR88">
            <v>2.4E-2</v>
          </cell>
          <cell r="HS88">
            <v>2.4E-2</v>
          </cell>
          <cell r="HT88">
            <v>2.4E-2</v>
          </cell>
          <cell r="HU88">
            <v>2.4E-2</v>
          </cell>
          <cell r="HV88">
            <v>2.4E-2</v>
          </cell>
          <cell r="HW88" t="str">
            <v>%PPL</v>
          </cell>
        </row>
        <row r="89">
          <cell r="AV89" t="str">
            <v>NRC-F IPR</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0.2</v>
          </cell>
          <cell r="BL89" t="str">
            <v>%PMP</v>
          </cell>
          <cell r="BM89">
            <v>0.05</v>
          </cell>
          <cell r="BN89">
            <v>0.05</v>
          </cell>
          <cell r="BO89">
            <v>0.05</v>
          </cell>
          <cell r="BP89">
            <v>0.05</v>
          </cell>
          <cell r="BQ89">
            <v>0.05</v>
          </cell>
          <cell r="BR89">
            <v>0.05</v>
          </cell>
          <cell r="BS89">
            <v>0.05</v>
          </cell>
          <cell r="BT89">
            <v>0.05</v>
          </cell>
          <cell r="BU89">
            <v>0.03</v>
          </cell>
          <cell r="BV89">
            <v>0.03</v>
          </cell>
          <cell r="BW89">
            <v>0.03</v>
          </cell>
          <cell r="BX89">
            <v>0.03</v>
          </cell>
          <cell r="BY89">
            <v>0.03</v>
          </cell>
          <cell r="BZ89">
            <v>0.03</v>
          </cell>
          <cell r="CA89">
            <v>2.4E-2</v>
          </cell>
          <cell r="CB89">
            <v>2.4E-2</v>
          </cell>
          <cell r="CC89">
            <v>2.4E-2</v>
          </cell>
          <cell r="CD89">
            <v>2.4E-2</v>
          </cell>
          <cell r="CE89">
            <v>2.4E-2</v>
          </cell>
          <cell r="CF89">
            <v>2.4E-2</v>
          </cell>
          <cell r="CG89">
            <v>2.4E-2</v>
          </cell>
          <cell r="CH89">
            <v>2.4E-2</v>
          </cell>
          <cell r="CI89">
            <v>0.05</v>
          </cell>
          <cell r="CJ89">
            <v>0.05</v>
          </cell>
          <cell r="CK89">
            <v>0.05</v>
          </cell>
          <cell r="CL89">
            <v>0.05</v>
          </cell>
          <cell r="CM89">
            <v>0.05</v>
          </cell>
          <cell r="CN89">
            <v>0.05</v>
          </cell>
          <cell r="CO89">
            <v>0.05</v>
          </cell>
          <cell r="CP89">
            <v>0.05</v>
          </cell>
          <cell r="CQ89">
            <v>0.03</v>
          </cell>
          <cell r="CR89">
            <v>0.03</v>
          </cell>
          <cell r="CS89">
            <v>0.03</v>
          </cell>
          <cell r="CT89">
            <v>0.03</v>
          </cell>
          <cell r="CU89">
            <v>0.03</v>
          </cell>
          <cell r="CV89">
            <v>0.03</v>
          </cell>
          <cell r="CW89">
            <v>2.4E-2</v>
          </cell>
          <cell r="CX89">
            <v>2.4E-2</v>
          </cell>
          <cell r="CY89">
            <v>2.4E-2</v>
          </cell>
          <cell r="CZ89">
            <v>2.4E-2</v>
          </cell>
          <cell r="DA89">
            <v>2.4E-2</v>
          </cell>
          <cell r="DB89">
            <v>2.4E-2</v>
          </cell>
          <cell r="DC89">
            <v>2.4E-2</v>
          </cell>
          <cell r="DD89">
            <v>2.4E-2</v>
          </cell>
          <cell r="DE89">
            <v>0.05</v>
          </cell>
          <cell r="DF89">
            <v>0.05</v>
          </cell>
          <cell r="DG89">
            <v>0.05</v>
          </cell>
          <cell r="DH89">
            <v>0.05</v>
          </cell>
          <cell r="DI89">
            <v>0.05</v>
          </cell>
          <cell r="DJ89">
            <v>0.05</v>
          </cell>
          <cell r="DK89">
            <v>0.05</v>
          </cell>
          <cell r="DL89">
            <v>0.05</v>
          </cell>
          <cell r="DM89">
            <v>0.05</v>
          </cell>
          <cell r="DN89">
            <v>0.05</v>
          </cell>
          <cell r="DO89">
            <v>0.05</v>
          </cell>
          <cell r="DP89">
            <v>0.05</v>
          </cell>
          <cell r="DQ89">
            <v>0.05</v>
          </cell>
          <cell r="DR89">
            <v>0.05</v>
          </cell>
          <cell r="DS89">
            <v>0.05</v>
          </cell>
          <cell r="DT89">
            <v>0.05</v>
          </cell>
          <cell r="DU89">
            <v>0.03</v>
          </cell>
          <cell r="DV89">
            <v>0.03</v>
          </cell>
          <cell r="DW89">
            <v>0.03</v>
          </cell>
          <cell r="DX89">
            <v>0.03</v>
          </cell>
          <cell r="DY89">
            <v>0.03</v>
          </cell>
          <cell r="DZ89">
            <v>0.03</v>
          </cell>
          <cell r="EA89">
            <v>2.4E-2</v>
          </cell>
          <cell r="EB89">
            <v>2.4E-2</v>
          </cell>
          <cell r="EC89">
            <v>2.4E-2</v>
          </cell>
          <cell r="ED89">
            <v>2.4E-2</v>
          </cell>
          <cell r="EE89">
            <v>2.4E-2</v>
          </cell>
          <cell r="EF89">
            <v>2.4E-2</v>
          </cell>
          <cell r="EG89">
            <v>2.4E-2</v>
          </cell>
          <cell r="EH89">
            <v>2.4E-2</v>
          </cell>
          <cell r="EI89">
            <v>0.05</v>
          </cell>
          <cell r="EJ89">
            <v>0.05</v>
          </cell>
          <cell r="EK89">
            <v>0.05</v>
          </cell>
          <cell r="EL89">
            <v>0.05</v>
          </cell>
          <cell r="EM89">
            <v>0.05</v>
          </cell>
          <cell r="EN89">
            <v>0.05</v>
          </cell>
          <cell r="EO89">
            <v>0.05</v>
          </cell>
          <cell r="EP89">
            <v>0.05</v>
          </cell>
          <cell r="EQ89">
            <v>0.05</v>
          </cell>
          <cell r="ER89">
            <v>0.05</v>
          </cell>
          <cell r="ES89">
            <v>0.05</v>
          </cell>
          <cell r="ET89">
            <v>0.05</v>
          </cell>
          <cell r="EU89">
            <v>0.03</v>
          </cell>
          <cell r="EV89">
            <v>0.03</v>
          </cell>
          <cell r="EW89">
            <v>0.03</v>
          </cell>
          <cell r="EX89">
            <v>0.03</v>
          </cell>
          <cell r="EY89">
            <v>0.03</v>
          </cell>
          <cell r="EZ89">
            <v>0.03</v>
          </cell>
          <cell r="FA89">
            <v>2.4E-2</v>
          </cell>
          <cell r="FB89">
            <v>2.4E-2</v>
          </cell>
          <cell r="FC89">
            <v>2.4E-2</v>
          </cell>
          <cell r="FD89">
            <v>2.4E-2</v>
          </cell>
          <cell r="FE89">
            <v>2.4E-2</v>
          </cell>
          <cell r="FF89">
            <v>2.4E-2</v>
          </cell>
          <cell r="FG89">
            <v>2.4E-2</v>
          </cell>
          <cell r="FH89">
            <v>2.4E-2</v>
          </cell>
          <cell r="FI89">
            <v>0.05</v>
          </cell>
          <cell r="FJ89">
            <v>0.05</v>
          </cell>
          <cell r="FK89">
            <v>0.05</v>
          </cell>
          <cell r="FL89">
            <v>0.05</v>
          </cell>
          <cell r="FM89">
            <v>0.05</v>
          </cell>
          <cell r="FN89">
            <v>0.05</v>
          </cell>
          <cell r="FO89">
            <v>0.05</v>
          </cell>
          <cell r="FP89">
            <v>0.05</v>
          </cell>
          <cell r="FQ89">
            <v>0.03</v>
          </cell>
          <cell r="FR89">
            <v>0.03</v>
          </cell>
          <cell r="FS89">
            <v>0.03</v>
          </cell>
          <cell r="FT89">
            <v>0.03</v>
          </cell>
          <cell r="FU89">
            <v>0.03</v>
          </cell>
          <cell r="FV89">
            <v>0.03</v>
          </cell>
          <cell r="FW89">
            <v>2.4E-2</v>
          </cell>
          <cell r="FX89">
            <v>2.4E-2</v>
          </cell>
          <cell r="FY89">
            <v>2.4E-2</v>
          </cell>
          <cell r="FZ89">
            <v>2.4E-2</v>
          </cell>
          <cell r="GA89">
            <v>2.4E-2</v>
          </cell>
          <cell r="GB89">
            <v>2.4E-2</v>
          </cell>
          <cell r="GC89">
            <v>2.4E-2</v>
          </cell>
          <cell r="GD89">
            <v>2.4E-2</v>
          </cell>
          <cell r="GE89">
            <v>0.05</v>
          </cell>
          <cell r="GF89">
            <v>0.05</v>
          </cell>
          <cell r="GG89">
            <v>0.05</v>
          </cell>
          <cell r="GH89">
            <v>0.05</v>
          </cell>
          <cell r="GI89">
            <v>0.05</v>
          </cell>
          <cell r="GJ89">
            <v>0.05</v>
          </cell>
          <cell r="GK89">
            <v>0.05</v>
          </cell>
          <cell r="GL89">
            <v>0.05</v>
          </cell>
          <cell r="GM89">
            <v>0.03</v>
          </cell>
          <cell r="GN89">
            <v>0.03</v>
          </cell>
          <cell r="GO89">
            <v>0.03</v>
          </cell>
          <cell r="GP89">
            <v>0.03</v>
          </cell>
          <cell r="GQ89">
            <v>0.03</v>
          </cell>
          <cell r="GR89">
            <v>0.03</v>
          </cell>
          <cell r="GS89">
            <v>2.4E-2</v>
          </cell>
          <cell r="GT89">
            <v>2.4E-2</v>
          </cell>
          <cell r="GU89">
            <v>2.4E-2</v>
          </cell>
          <cell r="GV89">
            <v>2.4E-2</v>
          </cell>
          <cell r="GW89">
            <v>2.4E-2</v>
          </cell>
          <cell r="GX89">
            <v>2.4E-2</v>
          </cell>
          <cell r="GY89">
            <v>2.4E-2</v>
          </cell>
          <cell r="GZ89">
            <v>2.4E-2</v>
          </cell>
          <cell r="HA89">
            <v>0.05</v>
          </cell>
          <cell r="HB89">
            <v>0.05</v>
          </cell>
          <cell r="HC89">
            <v>0.05</v>
          </cell>
          <cell r="HD89">
            <v>0.05</v>
          </cell>
          <cell r="HE89">
            <v>0.05</v>
          </cell>
          <cell r="HF89">
            <v>0.05</v>
          </cell>
          <cell r="HG89">
            <v>0.05</v>
          </cell>
          <cell r="HH89">
            <v>0.05</v>
          </cell>
          <cell r="HI89">
            <v>0.03</v>
          </cell>
          <cell r="HJ89">
            <v>0.03</v>
          </cell>
          <cell r="HK89">
            <v>0.03</v>
          </cell>
          <cell r="HL89">
            <v>0.03</v>
          </cell>
          <cell r="HM89">
            <v>0.03</v>
          </cell>
          <cell r="HN89">
            <v>0.03</v>
          </cell>
          <cell r="HO89">
            <v>2.4E-2</v>
          </cell>
          <cell r="HP89">
            <v>2.4E-2</v>
          </cell>
          <cell r="HQ89">
            <v>2.4E-2</v>
          </cell>
          <cell r="HR89">
            <v>2.4E-2</v>
          </cell>
          <cell r="HS89">
            <v>2.4E-2</v>
          </cell>
          <cell r="HT89">
            <v>2.4E-2</v>
          </cell>
          <cell r="HU89">
            <v>2.4E-2</v>
          </cell>
          <cell r="HV89">
            <v>2.4E-2</v>
          </cell>
          <cell r="HW89" t="str">
            <v>%PPL</v>
          </cell>
        </row>
        <row r="90">
          <cell r="AV90" t="str">
            <v>NRC-P IPR</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0.2</v>
          </cell>
          <cell r="BL90" t="str">
            <v>%PMP</v>
          </cell>
          <cell r="BM90">
            <v>0.05</v>
          </cell>
          <cell r="BN90">
            <v>0.05</v>
          </cell>
          <cell r="BO90">
            <v>0.05</v>
          </cell>
          <cell r="BP90">
            <v>0.05</v>
          </cell>
          <cell r="BQ90">
            <v>0.05</v>
          </cell>
          <cell r="BR90">
            <v>0.05</v>
          </cell>
          <cell r="BS90">
            <v>0.05</v>
          </cell>
          <cell r="BT90">
            <v>0.05</v>
          </cell>
          <cell r="BU90">
            <v>0.03</v>
          </cell>
          <cell r="BV90">
            <v>0.03</v>
          </cell>
          <cell r="BW90">
            <v>0.03</v>
          </cell>
          <cell r="BX90">
            <v>0.03</v>
          </cell>
          <cell r="BY90">
            <v>0.03</v>
          </cell>
          <cell r="BZ90">
            <v>0.03</v>
          </cell>
          <cell r="CA90">
            <v>2.4E-2</v>
          </cell>
          <cell r="CB90">
            <v>2.4E-2</v>
          </cell>
          <cell r="CC90">
            <v>2.4E-2</v>
          </cell>
          <cell r="CD90">
            <v>2.4E-2</v>
          </cell>
          <cell r="CE90">
            <v>2.4E-2</v>
          </cell>
          <cell r="CF90">
            <v>2.4E-2</v>
          </cell>
          <cell r="CG90">
            <v>2.4E-2</v>
          </cell>
          <cell r="CH90">
            <v>2.4E-2</v>
          </cell>
          <cell r="CI90">
            <v>0.05</v>
          </cell>
          <cell r="CJ90">
            <v>0.05</v>
          </cell>
          <cell r="CK90">
            <v>0.05</v>
          </cell>
          <cell r="CL90">
            <v>0.05</v>
          </cell>
          <cell r="CM90">
            <v>0.05</v>
          </cell>
          <cell r="CN90">
            <v>0.05</v>
          </cell>
          <cell r="CO90">
            <v>0.05</v>
          </cell>
          <cell r="CP90">
            <v>0.05</v>
          </cell>
          <cell r="CQ90">
            <v>0.03</v>
          </cell>
          <cell r="CR90">
            <v>0.03</v>
          </cell>
          <cell r="CS90">
            <v>0.03</v>
          </cell>
          <cell r="CT90">
            <v>0.03</v>
          </cell>
          <cell r="CU90">
            <v>0.03</v>
          </cell>
          <cell r="CV90">
            <v>0.03</v>
          </cell>
          <cell r="CW90">
            <v>2.4E-2</v>
          </cell>
          <cell r="CX90">
            <v>2.4E-2</v>
          </cell>
          <cell r="CY90">
            <v>2.4E-2</v>
          </cell>
          <cell r="CZ90">
            <v>2.4E-2</v>
          </cell>
          <cell r="DA90">
            <v>2.4E-2</v>
          </cell>
          <cell r="DB90">
            <v>2.4E-2</v>
          </cell>
          <cell r="DC90">
            <v>2.4E-2</v>
          </cell>
          <cell r="DD90">
            <v>2.4E-2</v>
          </cell>
          <cell r="DE90">
            <v>0.05</v>
          </cell>
          <cell r="DF90">
            <v>0.05</v>
          </cell>
          <cell r="DG90">
            <v>0.05</v>
          </cell>
          <cell r="DH90">
            <v>0.05</v>
          </cell>
          <cell r="DI90">
            <v>0.05</v>
          </cell>
          <cell r="DJ90">
            <v>0.05</v>
          </cell>
          <cell r="DK90">
            <v>0.05</v>
          </cell>
          <cell r="DL90">
            <v>0.05</v>
          </cell>
          <cell r="DM90">
            <v>0.05</v>
          </cell>
          <cell r="DN90">
            <v>0.05</v>
          </cell>
          <cell r="DO90">
            <v>0.05</v>
          </cell>
          <cell r="DP90">
            <v>0.05</v>
          </cell>
          <cell r="DQ90">
            <v>0.05</v>
          </cell>
          <cell r="DR90">
            <v>0.05</v>
          </cell>
          <cell r="DS90">
            <v>0.05</v>
          </cell>
          <cell r="DT90">
            <v>0.05</v>
          </cell>
          <cell r="DU90">
            <v>0.03</v>
          </cell>
          <cell r="DV90">
            <v>0.03</v>
          </cell>
          <cell r="DW90">
            <v>0.03</v>
          </cell>
          <cell r="DX90">
            <v>0.03</v>
          </cell>
          <cell r="DY90">
            <v>0.03</v>
          </cell>
          <cell r="DZ90">
            <v>0.03</v>
          </cell>
          <cell r="EA90">
            <v>2.4E-2</v>
          </cell>
          <cell r="EB90">
            <v>2.4E-2</v>
          </cell>
          <cell r="EC90">
            <v>2.4E-2</v>
          </cell>
          <cell r="ED90">
            <v>2.4E-2</v>
          </cell>
          <cell r="EE90">
            <v>2.4E-2</v>
          </cell>
          <cell r="EF90">
            <v>2.4E-2</v>
          </cell>
          <cell r="EG90">
            <v>2.4E-2</v>
          </cell>
          <cell r="EH90">
            <v>2.4E-2</v>
          </cell>
          <cell r="EI90">
            <v>0.05</v>
          </cell>
          <cell r="EJ90">
            <v>0.05</v>
          </cell>
          <cell r="EK90">
            <v>0.05</v>
          </cell>
          <cell r="EL90">
            <v>0.05</v>
          </cell>
          <cell r="EM90">
            <v>0.05</v>
          </cell>
          <cell r="EN90">
            <v>0.05</v>
          </cell>
          <cell r="EO90">
            <v>0.05</v>
          </cell>
          <cell r="EP90">
            <v>0.05</v>
          </cell>
          <cell r="EQ90">
            <v>0.05</v>
          </cell>
          <cell r="ER90">
            <v>0.05</v>
          </cell>
          <cell r="ES90">
            <v>0.05</v>
          </cell>
          <cell r="ET90">
            <v>0.05</v>
          </cell>
          <cell r="EU90">
            <v>0.03</v>
          </cell>
          <cell r="EV90">
            <v>0.03</v>
          </cell>
          <cell r="EW90">
            <v>0.03</v>
          </cell>
          <cell r="EX90">
            <v>0.03</v>
          </cell>
          <cell r="EY90">
            <v>0.03</v>
          </cell>
          <cell r="EZ90">
            <v>0.03</v>
          </cell>
          <cell r="FA90">
            <v>2.4E-2</v>
          </cell>
          <cell r="FB90">
            <v>2.4E-2</v>
          </cell>
          <cell r="FC90">
            <v>2.4E-2</v>
          </cell>
          <cell r="FD90">
            <v>2.4E-2</v>
          </cell>
          <cell r="FE90">
            <v>2.4E-2</v>
          </cell>
          <cell r="FF90">
            <v>2.4E-2</v>
          </cell>
          <cell r="FG90">
            <v>2.4E-2</v>
          </cell>
          <cell r="FH90">
            <v>2.4E-2</v>
          </cell>
          <cell r="FI90">
            <v>0.05</v>
          </cell>
          <cell r="FJ90">
            <v>0.05</v>
          </cell>
          <cell r="FK90">
            <v>0.05</v>
          </cell>
          <cell r="FL90">
            <v>0.05</v>
          </cell>
          <cell r="FM90">
            <v>0.05</v>
          </cell>
          <cell r="FN90">
            <v>0.05</v>
          </cell>
          <cell r="FO90">
            <v>0.05</v>
          </cell>
          <cell r="FP90">
            <v>0.05</v>
          </cell>
          <cell r="FQ90">
            <v>0.03</v>
          </cell>
          <cell r="FR90">
            <v>0.03</v>
          </cell>
          <cell r="FS90">
            <v>0.03</v>
          </cell>
          <cell r="FT90">
            <v>0.03</v>
          </cell>
          <cell r="FU90">
            <v>0.03</v>
          </cell>
          <cell r="FV90">
            <v>0.03</v>
          </cell>
          <cell r="FW90">
            <v>2.4E-2</v>
          </cell>
          <cell r="FX90">
            <v>2.4E-2</v>
          </cell>
          <cell r="FY90">
            <v>2.4E-2</v>
          </cell>
          <cell r="FZ90">
            <v>2.4E-2</v>
          </cell>
          <cell r="GA90">
            <v>2.4E-2</v>
          </cell>
          <cell r="GB90">
            <v>2.4E-2</v>
          </cell>
          <cell r="GC90">
            <v>2.4E-2</v>
          </cell>
          <cell r="GD90">
            <v>2.4E-2</v>
          </cell>
          <cell r="GE90">
            <v>0.05</v>
          </cell>
          <cell r="GF90">
            <v>0.05</v>
          </cell>
          <cell r="GG90">
            <v>0.05</v>
          </cell>
          <cell r="GH90">
            <v>0.05</v>
          </cell>
          <cell r="GI90">
            <v>0.05</v>
          </cell>
          <cell r="GJ90">
            <v>0.05</v>
          </cell>
          <cell r="GK90">
            <v>0.05</v>
          </cell>
          <cell r="GL90">
            <v>0.05</v>
          </cell>
          <cell r="GM90">
            <v>0.03</v>
          </cell>
          <cell r="GN90">
            <v>0.03</v>
          </cell>
          <cell r="GO90">
            <v>0.03</v>
          </cell>
          <cell r="GP90">
            <v>0.03</v>
          </cell>
          <cell r="GQ90">
            <v>0.03</v>
          </cell>
          <cell r="GR90">
            <v>0.03</v>
          </cell>
          <cell r="GS90">
            <v>2.4E-2</v>
          </cell>
          <cell r="GT90">
            <v>2.4E-2</v>
          </cell>
          <cell r="GU90">
            <v>2.4E-2</v>
          </cell>
          <cell r="GV90">
            <v>2.4E-2</v>
          </cell>
          <cell r="GW90">
            <v>2.4E-2</v>
          </cell>
          <cell r="GX90">
            <v>2.4E-2</v>
          </cell>
          <cell r="GY90">
            <v>2.4E-2</v>
          </cell>
          <cell r="GZ90">
            <v>2.4E-2</v>
          </cell>
          <cell r="HA90">
            <v>0.05</v>
          </cell>
          <cell r="HB90">
            <v>0.05</v>
          </cell>
          <cell r="HC90">
            <v>0.05</v>
          </cell>
          <cell r="HD90">
            <v>0.05</v>
          </cell>
          <cell r="HE90">
            <v>0.05</v>
          </cell>
          <cell r="HF90">
            <v>0.05</v>
          </cell>
          <cell r="HG90">
            <v>0.05</v>
          </cell>
          <cell r="HH90">
            <v>0.05</v>
          </cell>
          <cell r="HI90">
            <v>0.03</v>
          </cell>
          <cell r="HJ90">
            <v>0.03</v>
          </cell>
          <cell r="HK90">
            <v>0.03</v>
          </cell>
          <cell r="HL90">
            <v>0.03</v>
          </cell>
          <cell r="HM90">
            <v>0.03</v>
          </cell>
          <cell r="HN90">
            <v>0.03</v>
          </cell>
          <cell r="HO90">
            <v>2.4E-2</v>
          </cell>
          <cell r="HP90">
            <v>2.4E-2</v>
          </cell>
          <cell r="HQ90">
            <v>2.4E-2</v>
          </cell>
          <cell r="HR90">
            <v>2.4E-2</v>
          </cell>
          <cell r="HS90">
            <v>2.4E-2</v>
          </cell>
          <cell r="HT90">
            <v>2.4E-2</v>
          </cell>
          <cell r="HU90">
            <v>2.4E-2</v>
          </cell>
          <cell r="HV90">
            <v>2.4E-2</v>
          </cell>
          <cell r="HW90" t="str">
            <v>%PPL</v>
          </cell>
        </row>
        <row r="91">
          <cell r="AV91" t="str">
            <v>NRC-X IPR</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0.2</v>
          </cell>
          <cell r="BL91" t="str">
            <v>%PMP</v>
          </cell>
          <cell r="BM91">
            <v>0.05</v>
          </cell>
          <cell r="BN91">
            <v>0.05</v>
          </cell>
          <cell r="BO91">
            <v>0.05</v>
          </cell>
          <cell r="BP91">
            <v>0.05</v>
          </cell>
          <cell r="BQ91">
            <v>0.05</v>
          </cell>
          <cell r="BR91">
            <v>0.05</v>
          </cell>
          <cell r="BS91">
            <v>0.05</v>
          </cell>
          <cell r="BT91">
            <v>0.05</v>
          </cell>
          <cell r="BU91">
            <v>0.03</v>
          </cell>
          <cell r="BV91">
            <v>0.03</v>
          </cell>
          <cell r="BW91">
            <v>0.03</v>
          </cell>
          <cell r="BX91">
            <v>0.03</v>
          </cell>
          <cell r="BY91">
            <v>0.03</v>
          </cell>
          <cell r="BZ91">
            <v>0.03</v>
          </cell>
          <cell r="CA91">
            <v>2.4E-2</v>
          </cell>
          <cell r="CB91">
            <v>2.4E-2</v>
          </cell>
          <cell r="CC91">
            <v>2.4E-2</v>
          </cell>
          <cell r="CD91">
            <v>2.4E-2</v>
          </cell>
          <cell r="CE91">
            <v>2.4E-2</v>
          </cell>
          <cell r="CF91">
            <v>2.4E-2</v>
          </cell>
          <cell r="CG91">
            <v>2.4E-2</v>
          </cell>
          <cell r="CH91">
            <v>2.4E-2</v>
          </cell>
          <cell r="CI91">
            <v>0.05</v>
          </cell>
          <cell r="CJ91">
            <v>0.05</v>
          </cell>
          <cell r="CK91">
            <v>0.05</v>
          </cell>
          <cell r="CL91">
            <v>0.05</v>
          </cell>
          <cell r="CM91">
            <v>0.05</v>
          </cell>
          <cell r="CN91">
            <v>0.05</v>
          </cell>
          <cell r="CO91">
            <v>0.05</v>
          </cell>
          <cell r="CP91">
            <v>0.05</v>
          </cell>
          <cell r="CQ91">
            <v>0.03</v>
          </cell>
          <cell r="CR91">
            <v>0.03</v>
          </cell>
          <cell r="CS91">
            <v>0.03</v>
          </cell>
          <cell r="CT91">
            <v>0.03</v>
          </cell>
          <cell r="CU91">
            <v>0.03</v>
          </cell>
          <cell r="CV91">
            <v>0.03</v>
          </cell>
          <cell r="CW91">
            <v>2.4E-2</v>
          </cell>
          <cell r="CX91">
            <v>2.4E-2</v>
          </cell>
          <cell r="CY91">
            <v>2.4E-2</v>
          </cell>
          <cell r="CZ91">
            <v>2.4E-2</v>
          </cell>
          <cell r="DA91">
            <v>2.4E-2</v>
          </cell>
          <cell r="DB91">
            <v>2.4E-2</v>
          </cell>
          <cell r="DC91">
            <v>2.4E-2</v>
          </cell>
          <cell r="DD91">
            <v>2.4E-2</v>
          </cell>
          <cell r="DE91">
            <v>0.05</v>
          </cell>
          <cell r="DF91">
            <v>0.05</v>
          </cell>
          <cell r="DG91">
            <v>0.05</v>
          </cell>
          <cell r="DH91">
            <v>0.05</v>
          </cell>
          <cell r="DI91">
            <v>0.05</v>
          </cell>
          <cell r="DJ91">
            <v>0.05</v>
          </cell>
          <cell r="DK91">
            <v>0.05</v>
          </cell>
          <cell r="DL91">
            <v>0.05</v>
          </cell>
          <cell r="DM91">
            <v>0.05</v>
          </cell>
          <cell r="DN91">
            <v>0.05</v>
          </cell>
          <cell r="DO91">
            <v>0.05</v>
          </cell>
          <cell r="DP91">
            <v>0.05</v>
          </cell>
          <cell r="DQ91">
            <v>0.05</v>
          </cell>
          <cell r="DR91">
            <v>0.05</v>
          </cell>
          <cell r="DS91">
            <v>0.05</v>
          </cell>
          <cell r="DT91">
            <v>0.05</v>
          </cell>
          <cell r="DU91">
            <v>0.03</v>
          </cell>
          <cell r="DV91">
            <v>0.03</v>
          </cell>
          <cell r="DW91">
            <v>0.03</v>
          </cell>
          <cell r="DX91">
            <v>0.03</v>
          </cell>
          <cell r="DY91">
            <v>0.03</v>
          </cell>
          <cell r="DZ91">
            <v>0.03</v>
          </cell>
          <cell r="EA91">
            <v>2.4E-2</v>
          </cell>
          <cell r="EB91">
            <v>2.4E-2</v>
          </cell>
          <cell r="EC91">
            <v>2.4E-2</v>
          </cell>
          <cell r="ED91">
            <v>2.4E-2</v>
          </cell>
          <cell r="EE91">
            <v>2.4E-2</v>
          </cell>
          <cell r="EF91">
            <v>2.4E-2</v>
          </cell>
          <cell r="EG91">
            <v>2.4E-2</v>
          </cell>
          <cell r="EH91">
            <v>2.4E-2</v>
          </cell>
          <cell r="EI91">
            <v>0.05</v>
          </cell>
          <cell r="EJ91">
            <v>0.05</v>
          </cell>
          <cell r="EK91">
            <v>0.05</v>
          </cell>
          <cell r="EL91">
            <v>0.05</v>
          </cell>
          <cell r="EM91">
            <v>0.05</v>
          </cell>
          <cell r="EN91">
            <v>0.05</v>
          </cell>
          <cell r="EO91">
            <v>0.05</v>
          </cell>
          <cell r="EP91">
            <v>0.05</v>
          </cell>
          <cell r="EQ91">
            <v>0.05</v>
          </cell>
          <cell r="ER91">
            <v>0.05</v>
          </cell>
          <cell r="ES91">
            <v>0.05</v>
          </cell>
          <cell r="ET91">
            <v>0.05</v>
          </cell>
          <cell r="EU91">
            <v>0.03</v>
          </cell>
          <cell r="EV91">
            <v>0.03</v>
          </cell>
          <cell r="EW91">
            <v>0.03</v>
          </cell>
          <cell r="EX91">
            <v>0.03</v>
          </cell>
          <cell r="EY91">
            <v>0.03</v>
          </cell>
          <cell r="EZ91">
            <v>0.03</v>
          </cell>
          <cell r="FA91">
            <v>2.4E-2</v>
          </cell>
          <cell r="FB91">
            <v>2.4E-2</v>
          </cell>
          <cell r="FC91">
            <v>2.4E-2</v>
          </cell>
          <cell r="FD91">
            <v>2.4E-2</v>
          </cell>
          <cell r="FE91">
            <v>2.4E-2</v>
          </cell>
          <cell r="FF91">
            <v>2.4E-2</v>
          </cell>
          <cell r="FG91">
            <v>2.4E-2</v>
          </cell>
          <cell r="FH91">
            <v>2.4E-2</v>
          </cell>
          <cell r="FI91">
            <v>0.05</v>
          </cell>
          <cell r="FJ91">
            <v>0.05</v>
          </cell>
          <cell r="FK91">
            <v>0.05</v>
          </cell>
          <cell r="FL91">
            <v>0.05</v>
          </cell>
          <cell r="FM91">
            <v>0.05</v>
          </cell>
          <cell r="FN91">
            <v>0.05</v>
          </cell>
          <cell r="FO91">
            <v>0.05</v>
          </cell>
          <cell r="FP91">
            <v>0.05</v>
          </cell>
          <cell r="FQ91">
            <v>0.03</v>
          </cell>
          <cell r="FR91">
            <v>0.03</v>
          </cell>
          <cell r="FS91">
            <v>0.03</v>
          </cell>
          <cell r="FT91">
            <v>0.03</v>
          </cell>
          <cell r="FU91">
            <v>0.03</v>
          </cell>
          <cell r="FV91">
            <v>0.03</v>
          </cell>
          <cell r="FW91">
            <v>2.4E-2</v>
          </cell>
          <cell r="FX91">
            <v>2.4E-2</v>
          </cell>
          <cell r="FY91">
            <v>2.4E-2</v>
          </cell>
          <cell r="FZ91">
            <v>2.4E-2</v>
          </cell>
          <cell r="GA91">
            <v>2.4E-2</v>
          </cell>
          <cell r="GB91">
            <v>2.4E-2</v>
          </cell>
          <cell r="GC91">
            <v>2.4E-2</v>
          </cell>
          <cell r="GD91">
            <v>2.4E-2</v>
          </cell>
          <cell r="GE91">
            <v>0.05</v>
          </cell>
          <cell r="GF91">
            <v>0.05</v>
          </cell>
          <cell r="GG91">
            <v>0.05</v>
          </cell>
          <cell r="GH91">
            <v>0.05</v>
          </cell>
          <cell r="GI91">
            <v>0.05</v>
          </cell>
          <cell r="GJ91">
            <v>0.05</v>
          </cell>
          <cell r="GK91">
            <v>0.05</v>
          </cell>
          <cell r="GL91">
            <v>0.05</v>
          </cell>
          <cell r="GM91">
            <v>0.03</v>
          </cell>
          <cell r="GN91">
            <v>0.03</v>
          </cell>
          <cell r="GO91">
            <v>0.03</v>
          </cell>
          <cell r="GP91">
            <v>0.03</v>
          </cell>
          <cell r="GQ91">
            <v>0.03</v>
          </cell>
          <cell r="GR91">
            <v>0.03</v>
          </cell>
          <cell r="GS91">
            <v>2.4E-2</v>
          </cell>
          <cell r="GT91">
            <v>2.4E-2</v>
          </cell>
          <cell r="GU91">
            <v>2.4E-2</v>
          </cell>
          <cell r="GV91">
            <v>2.4E-2</v>
          </cell>
          <cell r="GW91">
            <v>2.4E-2</v>
          </cell>
          <cell r="GX91">
            <v>2.4E-2</v>
          </cell>
          <cell r="GY91">
            <v>2.4E-2</v>
          </cell>
          <cell r="GZ91">
            <v>2.4E-2</v>
          </cell>
          <cell r="HA91">
            <v>0.05</v>
          </cell>
          <cell r="HB91">
            <v>0.05</v>
          </cell>
          <cell r="HC91">
            <v>0.05</v>
          </cell>
          <cell r="HD91">
            <v>0.05</v>
          </cell>
          <cell r="HE91">
            <v>0.05</v>
          </cell>
          <cell r="HF91">
            <v>0.05</v>
          </cell>
          <cell r="HG91">
            <v>0.05</v>
          </cell>
          <cell r="HH91">
            <v>0.05</v>
          </cell>
          <cell r="HI91">
            <v>0.03</v>
          </cell>
          <cell r="HJ91">
            <v>0.03</v>
          </cell>
          <cell r="HK91">
            <v>0.03</v>
          </cell>
          <cell r="HL91">
            <v>0.03</v>
          </cell>
          <cell r="HM91">
            <v>0.03</v>
          </cell>
          <cell r="HN91">
            <v>0.03</v>
          </cell>
          <cell r="HO91">
            <v>2.4E-2</v>
          </cell>
          <cell r="HP91">
            <v>2.4E-2</v>
          </cell>
          <cell r="HQ91">
            <v>2.4E-2</v>
          </cell>
          <cell r="HR91">
            <v>2.4E-2</v>
          </cell>
          <cell r="HS91">
            <v>2.4E-2</v>
          </cell>
          <cell r="HT91">
            <v>2.4E-2</v>
          </cell>
          <cell r="HU91">
            <v>2.4E-2</v>
          </cell>
          <cell r="HV91">
            <v>2.4E-2</v>
          </cell>
          <cell r="HW91" t="str">
            <v>%PPL</v>
          </cell>
        </row>
        <row r="92">
          <cell r="AV92" t="str">
            <v>NSD IPR</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0.2</v>
          </cell>
          <cell r="BL92" t="str">
            <v>%PMP</v>
          </cell>
          <cell r="BM92">
            <v>0.05</v>
          </cell>
          <cell r="BN92">
            <v>0.05</v>
          </cell>
          <cell r="BO92">
            <v>0.05</v>
          </cell>
          <cell r="BP92">
            <v>0.05</v>
          </cell>
          <cell r="BQ92">
            <v>0.05</v>
          </cell>
          <cell r="BR92">
            <v>0.05</v>
          </cell>
          <cell r="BS92">
            <v>0.05</v>
          </cell>
          <cell r="BT92">
            <v>0.05</v>
          </cell>
          <cell r="BU92">
            <v>0.03</v>
          </cell>
          <cell r="BV92">
            <v>0.03</v>
          </cell>
          <cell r="BW92">
            <v>0.03</v>
          </cell>
          <cell r="BX92">
            <v>0.03</v>
          </cell>
          <cell r="BY92">
            <v>0.03</v>
          </cell>
          <cell r="BZ92">
            <v>0.03</v>
          </cell>
          <cell r="CA92">
            <v>2.4E-2</v>
          </cell>
          <cell r="CB92">
            <v>2.4E-2</v>
          </cell>
          <cell r="CC92">
            <v>2.4E-2</v>
          </cell>
          <cell r="CD92">
            <v>2.4E-2</v>
          </cell>
          <cell r="CE92">
            <v>2.4E-2</v>
          </cell>
          <cell r="CF92">
            <v>2.4E-2</v>
          </cell>
          <cell r="CG92">
            <v>2.4E-2</v>
          </cell>
          <cell r="CH92">
            <v>2.4E-2</v>
          </cell>
          <cell r="CI92">
            <v>0.05</v>
          </cell>
          <cell r="CJ92">
            <v>0.05</v>
          </cell>
          <cell r="CK92">
            <v>0.05</v>
          </cell>
          <cell r="CL92">
            <v>0.05</v>
          </cell>
          <cell r="CM92">
            <v>0.05</v>
          </cell>
          <cell r="CN92">
            <v>0.05</v>
          </cell>
          <cell r="CO92">
            <v>0.05</v>
          </cell>
          <cell r="CP92">
            <v>0.05</v>
          </cell>
          <cell r="CQ92">
            <v>0.03</v>
          </cell>
          <cell r="CR92">
            <v>0.03</v>
          </cell>
          <cell r="CS92">
            <v>0.03</v>
          </cell>
          <cell r="CT92">
            <v>0.03</v>
          </cell>
          <cell r="CU92">
            <v>0.03</v>
          </cell>
          <cell r="CV92">
            <v>0.03</v>
          </cell>
          <cell r="CW92">
            <v>2.4E-2</v>
          </cell>
          <cell r="CX92">
            <v>2.4E-2</v>
          </cell>
          <cell r="CY92">
            <v>2.4E-2</v>
          </cell>
          <cell r="CZ92">
            <v>2.4E-2</v>
          </cell>
          <cell r="DA92">
            <v>2.4E-2</v>
          </cell>
          <cell r="DB92">
            <v>2.4E-2</v>
          </cell>
          <cell r="DC92">
            <v>2.4E-2</v>
          </cell>
          <cell r="DD92">
            <v>2.4E-2</v>
          </cell>
          <cell r="DE92">
            <v>0.05</v>
          </cell>
          <cell r="DF92">
            <v>0.05</v>
          </cell>
          <cell r="DG92">
            <v>0.05</v>
          </cell>
          <cell r="DH92">
            <v>0.05</v>
          </cell>
          <cell r="DI92">
            <v>0.05</v>
          </cell>
          <cell r="DJ92">
            <v>0.05</v>
          </cell>
          <cell r="DK92">
            <v>0.05</v>
          </cell>
          <cell r="DL92">
            <v>0.05</v>
          </cell>
          <cell r="DM92">
            <v>0.05</v>
          </cell>
          <cell r="DN92">
            <v>0.05</v>
          </cell>
          <cell r="DO92">
            <v>0.05</v>
          </cell>
          <cell r="DP92">
            <v>0.05</v>
          </cell>
          <cell r="DQ92">
            <v>0.05</v>
          </cell>
          <cell r="DR92">
            <v>0.05</v>
          </cell>
          <cell r="DS92">
            <v>0.05</v>
          </cell>
          <cell r="DT92">
            <v>0.05</v>
          </cell>
          <cell r="DU92">
            <v>0.03</v>
          </cell>
          <cell r="DV92">
            <v>0.03</v>
          </cell>
          <cell r="DW92">
            <v>0.03</v>
          </cell>
          <cell r="DX92">
            <v>0.03</v>
          </cell>
          <cell r="DY92">
            <v>0.03</v>
          </cell>
          <cell r="DZ92">
            <v>0.03</v>
          </cell>
          <cell r="EA92">
            <v>2.4E-2</v>
          </cell>
          <cell r="EB92">
            <v>2.4E-2</v>
          </cell>
          <cell r="EC92">
            <v>2.4E-2</v>
          </cell>
          <cell r="ED92">
            <v>2.4E-2</v>
          </cell>
          <cell r="EE92">
            <v>2.4E-2</v>
          </cell>
          <cell r="EF92">
            <v>2.4E-2</v>
          </cell>
          <cell r="EG92">
            <v>2.4E-2</v>
          </cell>
          <cell r="EH92">
            <v>2.4E-2</v>
          </cell>
          <cell r="EI92">
            <v>0.05</v>
          </cell>
          <cell r="EJ92">
            <v>0.05</v>
          </cell>
          <cell r="EK92">
            <v>0.05</v>
          </cell>
          <cell r="EL92">
            <v>0.05</v>
          </cell>
          <cell r="EM92">
            <v>0.05</v>
          </cell>
          <cell r="EN92">
            <v>0.05</v>
          </cell>
          <cell r="EO92">
            <v>0.05</v>
          </cell>
          <cell r="EP92">
            <v>0.05</v>
          </cell>
          <cell r="EQ92">
            <v>0.05</v>
          </cell>
          <cell r="ER92">
            <v>0.05</v>
          </cell>
          <cell r="ES92">
            <v>0.05</v>
          </cell>
          <cell r="ET92">
            <v>0.05</v>
          </cell>
          <cell r="EU92">
            <v>0.03</v>
          </cell>
          <cell r="EV92">
            <v>0.03</v>
          </cell>
          <cell r="EW92">
            <v>0.03</v>
          </cell>
          <cell r="EX92">
            <v>0.03</v>
          </cell>
          <cell r="EY92">
            <v>0.03</v>
          </cell>
          <cell r="EZ92">
            <v>0.03</v>
          </cell>
          <cell r="FA92">
            <v>2.4E-2</v>
          </cell>
          <cell r="FB92">
            <v>2.4E-2</v>
          </cell>
          <cell r="FC92">
            <v>2.4E-2</v>
          </cell>
          <cell r="FD92">
            <v>2.4E-2</v>
          </cell>
          <cell r="FE92">
            <v>2.4E-2</v>
          </cell>
          <cell r="FF92">
            <v>2.4E-2</v>
          </cell>
          <cell r="FG92">
            <v>2.4E-2</v>
          </cell>
          <cell r="FH92">
            <v>2.4E-2</v>
          </cell>
          <cell r="FI92">
            <v>0.05</v>
          </cell>
          <cell r="FJ92">
            <v>0.05</v>
          </cell>
          <cell r="FK92">
            <v>0.05</v>
          </cell>
          <cell r="FL92">
            <v>0.05</v>
          </cell>
          <cell r="FM92">
            <v>0.05</v>
          </cell>
          <cell r="FN92">
            <v>0.05</v>
          </cell>
          <cell r="FO92">
            <v>0.05</v>
          </cell>
          <cell r="FP92">
            <v>0.05</v>
          </cell>
          <cell r="FQ92">
            <v>0.03</v>
          </cell>
          <cell r="FR92">
            <v>0.03</v>
          </cell>
          <cell r="FS92">
            <v>0.03</v>
          </cell>
          <cell r="FT92">
            <v>0.03</v>
          </cell>
          <cell r="FU92">
            <v>0.03</v>
          </cell>
          <cell r="FV92">
            <v>0.03</v>
          </cell>
          <cell r="FW92">
            <v>2.4E-2</v>
          </cell>
          <cell r="FX92">
            <v>2.4E-2</v>
          </cell>
          <cell r="FY92">
            <v>2.4E-2</v>
          </cell>
          <cell r="FZ92">
            <v>2.4E-2</v>
          </cell>
          <cell r="GA92">
            <v>2.4E-2</v>
          </cell>
          <cell r="GB92">
            <v>2.4E-2</v>
          </cell>
          <cell r="GC92">
            <v>2.4E-2</v>
          </cell>
          <cell r="GD92">
            <v>2.4E-2</v>
          </cell>
          <cell r="GE92">
            <v>0.05</v>
          </cell>
          <cell r="GF92">
            <v>0.05</v>
          </cell>
          <cell r="GG92">
            <v>0.05</v>
          </cell>
          <cell r="GH92">
            <v>0.05</v>
          </cell>
          <cell r="GI92">
            <v>0.05</v>
          </cell>
          <cell r="GJ92">
            <v>0.05</v>
          </cell>
          <cell r="GK92">
            <v>0.05</v>
          </cell>
          <cell r="GL92">
            <v>0.05</v>
          </cell>
          <cell r="GM92">
            <v>0.03</v>
          </cell>
          <cell r="GN92">
            <v>0.03</v>
          </cell>
          <cell r="GO92">
            <v>0.03</v>
          </cell>
          <cell r="GP92">
            <v>0.03</v>
          </cell>
          <cell r="GQ92">
            <v>0.03</v>
          </cell>
          <cell r="GR92">
            <v>0.03</v>
          </cell>
          <cell r="GS92">
            <v>2.4E-2</v>
          </cell>
          <cell r="GT92">
            <v>2.4E-2</v>
          </cell>
          <cell r="GU92">
            <v>2.4E-2</v>
          </cell>
          <cell r="GV92">
            <v>2.4E-2</v>
          </cell>
          <cell r="GW92">
            <v>2.4E-2</v>
          </cell>
          <cell r="GX92">
            <v>2.4E-2</v>
          </cell>
          <cell r="GY92">
            <v>2.4E-2</v>
          </cell>
          <cell r="GZ92">
            <v>2.4E-2</v>
          </cell>
          <cell r="HA92">
            <v>0.05</v>
          </cell>
          <cell r="HB92">
            <v>0.05</v>
          </cell>
          <cell r="HC92">
            <v>0.05</v>
          </cell>
          <cell r="HD92">
            <v>0.05</v>
          </cell>
          <cell r="HE92">
            <v>0.05</v>
          </cell>
          <cell r="HF92">
            <v>0.05</v>
          </cell>
          <cell r="HG92">
            <v>0.05</v>
          </cell>
          <cell r="HH92">
            <v>0.05</v>
          </cell>
          <cell r="HI92">
            <v>0.03</v>
          </cell>
          <cell r="HJ92">
            <v>0.03</v>
          </cell>
          <cell r="HK92">
            <v>0.03</v>
          </cell>
          <cell r="HL92">
            <v>0.03</v>
          </cell>
          <cell r="HM92">
            <v>0.03</v>
          </cell>
          <cell r="HN92">
            <v>0.03</v>
          </cell>
          <cell r="HO92">
            <v>2.4E-2</v>
          </cell>
          <cell r="HP92">
            <v>2.4E-2</v>
          </cell>
          <cell r="HQ92">
            <v>2.4E-2</v>
          </cell>
          <cell r="HR92">
            <v>2.4E-2</v>
          </cell>
          <cell r="HS92">
            <v>2.4E-2</v>
          </cell>
          <cell r="HT92">
            <v>2.4E-2</v>
          </cell>
          <cell r="HU92">
            <v>2.4E-2</v>
          </cell>
          <cell r="HV92">
            <v>2.4E-2</v>
          </cell>
          <cell r="HW92" t="str">
            <v>%PPL</v>
          </cell>
        </row>
        <row r="93">
          <cell r="AV93" t="str">
            <v>NSD-NRC IPR</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0.2</v>
          </cell>
          <cell r="BL93" t="str">
            <v>%PMP</v>
          </cell>
          <cell r="BM93">
            <v>0.05</v>
          </cell>
          <cell r="BN93">
            <v>0.05</v>
          </cell>
          <cell r="BO93">
            <v>0.05</v>
          </cell>
          <cell r="BP93">
            <v>0.05</v>
          </cell>
          <cell r="BQ93">
            <v>0.05</v>
          </cell>
          <cell r="BR93">
            <v>0.05</v>
          </cell>
          <cell r="BS93">
            <v>0.05</v>
          </cell>
          <cell r="BT93">
            <v>0.05</v>
          </cell>
          <cell r="BU93">
            <v>0.03</v>
          </cell>
          <cell r="BV93">
            <v>0.03</v>
          </cell>
          <cell r="BW93">
            <v>0.03</v>
          </cell>
          <cell r="BX93">
            <v>0.03</v>
          </cell>
          <cell r="BY93">
            <v>0.03</v>
          </cell>
          <cell r="BZ93">
            <v>0.03</v>
          </cell>
          <cell r="CA93">
            <v>2.4E-2</v>
          </cell>
          <cell r="CB93">
            <v>2.4E-2</v>
          </cell>
          <cell r="CC93">
            <v>2.4E-2</v>
          </cell>
          <cell r="CD93">
            <v>2.4E-2</v>
          </cell>
          <cell r="CE93">
            <v>2.4E-2</v>
          </cell>
          <cell r="CF93">
            <v>2.4E-2</v>
          </cell>
          <cell r="CG93">
            <v>2.4E-2</v>
          </cell>
          <cell r="CH93">
            <v>2.4E-2</v>
          </cell>
          <cell r="CI93">
            <v>0.05</v>
          </cell>
          <cell r="CJ93">
            <v>0.05</v>
          </cell>
          <cell r="CK93">
            <v>0.05</v>
          </cell>
          <cell r="CL93">
            <v>0.05</v>
          </cell>
          <cell r="CM93">
            <v>0.05</v>
          </cell>
          <cell r="CN93">
            <v>0.05</v>
          </cell>
          <cell r="CO93">
            <v>0.05</v>
          </cell>
          <cell r="CP93">
            <v>0.05</v>
          </cell>
          <cell r="CQ93">
            <v>0.03</v>
          </cell>
          <cell r="CR93">
            <v>0.03</v>
          </cell>
          <cell r="CS93">
            <v>0.03</v>
          </cell>
          <cell r="CT93">
            <v>0.03</v>
          </cell>
          <cell r="CU93">
            <v>0.03</v>
          </cell>
          <cell r="CV93">
            <v>0.03</v>
          </cell>
          <cell r="CW93">
            <v>2.4E-2</v>
          </cell>
          <cell r="CX93">
            <v>2.4E-2</v>
          </cell>
          <cell r="CY93">
            <v>2.4E-2</v>
          </cell>
          <cell r="CZ93">
            <v>2.4E-2</v>
          </cell>
          <cell r="DA93">
            <v>2.4E-2</v>
          </cell>
          <cell r="DB93">
            <v>2.4E-2</v>
          </cell>
          <cell r="DC93">
            <v>2.4E-2</v>
          </cell>
          <cell r="DD93">
            <v>2.4E-2</v>
          </cell>
          <cell r="DE93">
            <v>0.05</v>
          </cell>
          <cell r="DF93">
            <v>0.05</v>
          </cell>
          <cell r="DG93">
            <v>0.05</v>
          </cell>
          <cell r="DH93">
            <v>0.05</v>
          </cell>
          <cell r="DI93">
            <v>0.05</v>
          </cell>
          <cell r="DJ93">
            <v>0.05</v>
          </cell>
          <cell r="DK93">
            <v>0.05</v>
          </cell>
          <cell r="DL93">
            <v>0.05</v>
          </cell>
          <cell r="DM93">
            <v>0.05</v>
          </cell>
          <cell r="DN93">
            <v>0.05</v>
          </cell>
          <cell r="DO93">
            <v>0.05</v>
          </cell>
          <cell r="DP93">
            <v>0.05</v>
          </cell>
          <cell r="DQ93">
            <v>0.05</v>
          </cell>
          <cell r="DR93">
            <v>0.05</v>
          </cell>
          <cell r="DS93">
            <v>0.05</v>
          </cell>
          <cell r="DT93">
            <v>0.05</v>
          </cell>
          <cell r="DU93">
            <v>0.03</v>
          </cell>
          <cell r="DV93">
            <v>0.03</v>
          </cell>
          <cell r="DW93">
            <v>0.03</v>
          </cell>
          <cell r="DX93">
            <v>0.03</v>
          </cell>
          <cell r="DY93">
            <v>0.03</v>
          </cell>
          <cell r="DZ93">
            <v>0.03</v>
          </cell>
          <cell r="EA93">
            <v>2.4E-2</v>
          </cell>
          <cell r="EB93">
            <v>2.4E-2</v>
          </cell>
          <cell r="EC93">
            <v>2.4E-2</v>
          </cell>
          <cell r="ED93">
            <v>2.4E-2</v>
          </cell>
          <cell r="EE93">
            <v>2.4E-2</v>
          </cell>
          <cell r="EF93">
            <v>2.4E-2</v>
          </cell>
          <cell r="EG93">
            <v>2.4E-2</v>
          </cell>
          <cell r="EH93">
            <v>2.4E-2</v>
          </cell>
          <cell r="EI93">
            <v>0.05</v>
          </cell>
          <cell r="EJ93">
            <v>0.05</v>
          </cell>
          <cell r="EK93">
            <v>0.05</v>
          </cell>
          <cell r="EL93">
            <v>0.05</v>
          </cell>
          <cell r="EM93">
            <v>0.05</v>
          </cell>
          <cell r="EN93">
            <v>0.05</v>
          </cell>
          <cell r="EO93">
            <v>0.05</v>
          </cell>
          <cell r="EP93">
            <v>0.05</v>
          </cell>
          <cell r="EQ93">
            <v>0.05</v>
          </cell>
          <cell r="ER93">
            <v>0.05</v>
          </cell>
          <cell r="ES93">
            <v>0.05</v>
          </cell>
          <cell r="ET93">
            <v>0.05</v>
          </cell>
          <cell r="EU93">
            <v>0.03</v>
          </cell>
          <cell r="EV93">
            <v>0.03</v>
          </cell>
          <cell r="EW93">
            <v>0.03</v>
          </cell>
          <cell r="EX93">
            <v>0.03</v>
          </cell>
          <cell r="EY93">
            <v>0.03</v>
          </cell>
          <cell r="EZ93">
            <v>0.03</v>
          </cell>
          <cell r="FA93">
            <v>2.4E-2</v>
          </cell>
          <cell r="FB93">
            <v>2.4E-2</v>
          </cell>
          <cell r="FC93">
            <v>2.4E-2</v>
          </cell>
          <cell r="FD93">
            <v>2.4E-2</v>
          </cell>
          <cell r="FE93">
            <v>2.4E-2</v>
          </cell>
          <cell r="FF93">
            <v>2.4E-2</v>
          </cell>
          <cell r="FG93">
            <v>2.4E-2</v>
          </cell>
          <cell r="FH93">
            <v>2.4E-2</v>
          </cell>
          <cell r="FI93">
            <v>0.05</v>
          </cell>
          <cell r="FJ93">
            <v>0.05</v>
          </cell>
          <cell r="FK93">
            <v>0.05</v>
          </cell>
          <cell r="FL93">
            <v>0.05</v>
          </cell>
          <cell r="FM93">
            <v>0.05</v>
          </cell>
          <cell r="FN93">
            <v>0.05</v>
          </cell>
          <cell r="FO93">
            <v>0.05</v>
          </cell>
          <cell r="FP93">
            <v>0.05</v>
          </cell>
          <cell r="FQ93">
            <v>0.03</v>
          </cell>
          <cell r="FR93">
            <v>0.03</v>
          </cell>
          <cell r="FS93">
            <v>0.03</v>
          </cell>
          <cell r="FT93">
            <v>0.03</v>
          </cell>
          <cell r="FU93">
            <v>0.03</v>
          </cell>
          <cell r="FV93">
            <v>0.03</v>
          </cell>
          <cell r="FW93">
            <v>2.4E-2</v>
          </cell>
          <cell r="FX93">
            <v>2.4E-2</v>
          </cell>
          <cell r="FY93">
            <v>2.4E-2</v>
          </cell>
          <cell r="FZ93">
            <v>2.4E-2</v>
          </cell>
          <cell r="GA93">
            <v>2.4E-2</v>
          </cell>
          <cell r="GB93">
            <v>2.4E-2</v>
          </cell>
          <cell r="GC93">
            <v>2.4E-2</v>
          </cell>
          <cell r="GD93">
            <v>2.4E-2</v>
          </cell>
          <cell r="GE93">
            <v>0.05</v>
          </cell>
          <cell r="GF93">
            <v>0.05</v>
          </cell>
          <cell r="GG93">
            <v>0.05</v>
          </cell>
          <cell r="GH93">
            <v>0.05</v>
          </cell>
          <cell r="GI93">
            <v>0.05</v>
          </cell>
          <cell r="GJ93">
            <v>0.05</v>
          </cell>
          <cell r="GK93">
            <v>0.05</v>
          </cell>
          <cell r="GL93">
            <v>0.05</v>
          </cell>
          <cell r="GM93">
            <v>0.03</v>
          </cell>
          <cell r="GN93">
            <v>0.03</v>
          </cell>
          <cell r="GO93">
            <v>0.03</v>
          </cell>
          <cell r="GP93">
            <v>0.03</v>
          </cell>
          <cell r="GQ93">
            <v>0.03</v>
          </cell>
          <cell r="GR93">
            <v>0.03</v>
          </cell>
          <cell r="GS93">
            <v>2.4E-2</v>
          </cell>
          <cell r="GT93">
            <v>2.4E-2</v>
          </cell>
          <cell r="GU93">
            <v>2.4E-2</v>
          </cell>
          <cell r="GV93">
            <v>2.4E-2</v>
          </cell>
          <cell r="GW93">
            <v>2.4E-2</v>
          </cell>
          <cell r="GX93">
            <v>2.4E-2</v>
          </cell>
          <cell r="GY93">
            <v>2.4E-2</v>
          </cell>
          <cell r="GZ93">
            <v>2.4E-2</v>
          </cell>
          <cell r="HA93">
            <v>0.05</v>
          </cell>
          <cell r="HB93">
            <v>0.05</v>
          </cell>
          <cell r="HC93">
            <v>0.05</v>
          </cell>
          <cell r="HD93">
            <v>0.05</v>
          </cell>
          <cell r="HE93">
            <v>0.05</v>
          </cell>
          <cell r="HF93">
            <v>0.05</v>
          </cell>
          <cell r="HG93">
            <v>0.05</v>
          </cell>
          <cell r="HH93">
            <v>0.05</v>
          </cell>
          <cell r="HI93">
            <v>0.03</v>
          </cell>
          <cell r="HJ93">
            <v>0.03</v>
          </cell>
          <cell r="HK93">
            <v>0.03</v>
          </cell>
          <cell r="HL93">
            <v>0.03</v>
          </cell>
          <cell r="HM93">
            <v>0.03</v>
          </cell>
          <cell r="HN93">
            <v>0.03</v>
          </cell>
          <cell r="HO93">
            <v>2.4E-2</v>
          </cell>
          <cell r="HP93">
            <v>2.4E-2</v>
          </cell>
          <cell r="HQ93">
            <v>2.4E-2</v>
          </cell>
          <cell r="HR93">
            <v>2.4E-2</v>
          </cell>
          <cell r="HS93">
            <v>2.4E-2</v>
          </cell>
          <cell r="HT93">
            <v>2.4E-2</v>
          </cell>
          <cell r="HU93">
            <v>2.4E-2</v>
          </cell>
          <cell r="HV93">
            <v>2.4E-2</v>
          </cell>
          <cell r="HW93" t="str">
            <v>%PPL</v>
          </cell>
        </row>
        <row r="94">
          <cell r="AV94" t="str">
            <v>NSP-W IPR</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0.2</v>
          </cell>
          <cell r="BL94" t="str">
            <v>%PMP</v>
          </cell>
          <cell r="BM94">
            <v>0.05</v>
          </cell>
          <cell r="BN94">
            <v>0.05</v>
          </cell>
          <cell r="BO94">
            <v>0.05</v>
          </cell>
          <cell r="BP94">
            <v>0.05</v>
          </cell>
          <cell r="BQ94">
            <v>0.05</v>
          </cell>
          <cell r="BR94">
            <v>0.05</v>
          </cell>
          <cell r="BS94">
            <v>0.05</v>
          </cell>
          <cell r="BT94">
            <v>0.05</v>
          </cell>
          <cell r="BU94">
            <v>0.03</v>
          </cell>
          <cell r="BV94">
            <v>0.03</v>
          </cell>
          <cell r="BW94">
            <v>0.03</v>
          </cell>
          <cell r="BX94">
            <v>0.03</v>
          </cell>
          <cell r="BY94">
            <v>0.03</v>
          </cell>
          <cell r="BZ94">
            <v>0.03</v>
          </cell>
          <cell r="CA94">
            <v>2.4E-2</v>
          </cell>
          <cell r="CB94">
            <v>2.4E-2</v>
          </cell>
          <cell r="CC94">
            <v>2.4E-2</v>
          </cell>
          <cell r="CD94">
            <v>2.4E-2</v>
          </cell>
          <cell r="CE94">
            <v>2.4E-2</v>
          </cell>
          <cell r="CF94">
            <v>2.4E-2</v>
          </cell>
          <cell r="CG94">
            <v>2.4E-2</v>
          </cell>
          <cell r="CH94">
            <v>2.4E-2</v>
          </cell>
          <cell r="CI94">
            <v>0.05</v>
          </cell>
          <cell r="CJ94">
            <v>0.05</v>
          </cell>
          <cell r="CK94">
            <v>0.05</v>
          </cell>
          <cell r="CL94">
            <v>0.05</v>
          </cell>
          <cell r="CM94">
            <v>0.05</v>
          </cell>
          <cell r="CN94">
            <v>0.05</v>
          </cell>
          <cell r="CO94">
            <v>0.05</v>
          </cell>
          <cell r="CP94">
            <v>0.05</v>
          </cell>
          <cell r="CQ94">
            <v>0.03</v>
          </cell>
          <cell r="CR94">
            <v>0.03</v>
          </cell>
          <cell r="CS94">
            <v>0.03</v>
          </cell>
          <cell r="CT94">
            <v>0.03</v>
          </cell>
          <cell r="CU94">
            <v>0.03</v>
          </cell>
          <cell r="CV94">
            <v>0.03</v>
          </cell>
          <cell r="CW94">
            <v>2.4E-2</v>
          </cell>
          <cell r="CX94">
            <v>2.4E-2</v>
          </cell>
          <cell r="CY94">
            <v>2.4E-2</v>
          </cell>
          <cell r="CZ94">
            <v>2.4E-2</v>
          </cell>
          <cell r="DA94">
            <v>2.4E-2</v>
          </cell>
          <cell r="DB94">
            <v>2.4E-2</v>
          </cell>
          <cell r="DC94">
            <v>2.4E-2</v>
          </cell>
          <cell r="DD94">
            <v>2.4E-2</v>
          </cell>
          <cell r="DE94">
            <v>0.05</v>
          </cell>
          <cell r="DF94">
            <v>0.05</v>
          </cell>
          <cell r="DG94">
            <v>0.05</v>
          </cell>
          <cell r="DH94">
            <v>0.05</v>
          </cell>
          <cell r="DI94">
            <v>0.05</v>
          </cell>
          <cell r="DJ94">
            <v>0.05</v>
          </cell>
          <cell r="DK94">
            <v>0.05</v>
          </cell>
          <cell r="DL94">
            <v>0.05</v>
          </cell>
          <cell r="DM94">
            <v>0.05</v>
          </cell>
          <cell r="DN94">
            <v>0.05</v>
          </cell>
          <cell r="DO94">
            <v>0.05</v>
          </cell>
          <cell r="DP94">
            <v>0.05</v>
          </cell>
          <cell r="DQ94">
            <v>0.05</v>
          </cell>
          <cell r="DR94">
            <v>0.05</v>
          </cell>
          <cell r="DS94">
            <v>0.05</v>
          </cell>
          <cell r="DT94">
            <v>0.05</v>
          </cell>
          <cell r="DU94">
            <v>0.03</v>
          </cell>
          <cell r="DV94">
            <v>0.03</v>
          </cell>
          <cell r="DW94">
            <v>0.03</v>
          </cell>
          <cell r="DX94">
            <v>0.03</v>
          </cell>
          <cell r="DY94">
            <v>0.03</v>
          </cell>
          <cell r="DZ94">
            <v>0.03</v>
          </cell>
          <cell r="EA94">
            <v>2.4E-2</v>
          </cell>
          <cell r="EB94">
            <v>2.4E-2</v>
          </cell>
          <cell r="EC94">
            <v>2.4E-2</v>
          </cell>
          <cell r="ED94">
            <v>2.4E-2</v>
          </cell>
          <cell r="EE94">
            <v>2.4E-2</v>
          </cell>
          <cell r="EF94">
            <v>2.4E-2</v>
          </cell>
          <cell r="EG94">
            <v>2.4E-2</v>
          </cell>
          <cell r="EH94">
            <v>2.4E-2</v>
          </cell>
          <cell r="EI94">
            <v>0.05</v>
          </cell>
          <cell r="EJ94">
            <v>0.05</v>
          </cell>
          <cell r="EK94">
            <v>0.05</v>
          </cell>
          <cell r="EL94">
            <v>0.05</v>
          </cell>
          <cell r="EM94">
            <v>0.05</v>
          </cell>
          <cell r="EN94">
            <v>0.05</v>
          </cell>
          <cell r="EO94">
            <v>0.05</v>
          </cell>
          <cell r="EP94">
            <v>0.05</v>
          </cell>
          <cell r="EQ94">
            <v>0.05</v>
          </cell>
          <cell r="ER94">
            <v>0.05</v>
          </cell>
          <cell r="ES94">
            <v>0.05</v>
          </cell>
          <cell r="ET94">
            <v>0.05</v>
          </cell>
          <cell r="EU94">
            <v>0.03</v>
          </cell>
          <cell r="EV94">
            <v>0.03</v>
          </cell>
          <cell r="EW94">
            <v>0.03</v>
          </cell>
          <cell r="EX94">
            <v>0.03</v>
          </cell>
          <cell r="EY94">
            <v>0.03</v>
          </cell>
          <cell r="EZ94">
            <v>0.03</v>
          </cell>
          <cell r="FA94">
            <v>2.4E-2</v>
          </cell>
          <cell r="FB94">
            <v>2.4E-2</v>
          </cell>
          <cell r="FC94">
            <v>2.4E-2</v>
          </cell>
          <cell r="FD94">
            <v>2.4E-2</v>
          </cell>
          <cell r="FE94">
            <v>2.4E-2</v>
          </cell>
          <cell r="FF94">
            <v>2.4E-2</v>
          </cell>
          <cell r="FG94">
            <v>2.4E-2</v>
          </cell>
          <cell r="FH94">
            <v>2.4E-2</v>
          </cell>
          <cell r="FI94">
            <v>0.05</v>
          </cell>
          <cell r="FJ94">
            <v>0.05</v>
          </cell>
          <cell r="FK94">
            <v>0.05</v>
          </cell>
          <cell r="FL94">
            <v>0.05</v>
          </cell>
          <cell r="FM94">
            <v>0.05</v>
          </cell>
          <cell r="FN94">
            <v>0.05</v>
          </cell>
          <cell r="FO94">
            <v>0.05</v>
          </cell>
          <cell r="FP94">
            <v>0.05</v>
          </cell>
          <cell r="FQ94">
            <v>0.03</v>
          </cell>
          <cell r="FR94">
            <v>0.03</v>
          </cell>
          <cell r="FS94">
            <v>0.03</v>
          </cell>
          <cell r="FT94">
            <v>0.03</v>
          </cell>
          <cell r="FU94">
            <v>0.03</v>
          </cell>
          <cell r="FV94">
            <v>0.03</v>
          </cell>
          <cell r="FW94">
            <v>2.4E-2</v>
          </cell>
          <cell r="FX94">
            <v>2.4E-2</v>
          </cell>
          <cell r="FY94">
            <v>2.4E-2</v>
          </cell>
          <cell r="FZ94">
            <v>2.4E-2</v>
          </cell>
          <cell r="GA94">
            <v>2.4E-2</v>
          </cell>
          <cell r="GB94">
            <v>2.4E-2</v>
          </cell>
          <cell r="GC94">
            <v>2.4E-2</v>
          </cell>
          <cell r="GD94">
            <v>2.4E-2</v>
          </cell>
          <cell r="GE94">
            <v>0.05</v>
          </cell>
          <cell r="GF94">
            <v>0.05</v>
          </cell>
          <cell r="GG94">
            <v>0.05</v>
          </cell>
          <cell r="GH94">
            <v>0.05</v>
          </cell>
          <cell r="GI94">
            <v>0.05</v>
          </cell>
          <cell r="GJ94">
            <v>0.05</v>
          </cell>
          <cell r="GK94">
            <v>0.05</v>
          </cell>
          <cell r="GL94">
            <v>0.05</v>
          </cell>
          <cell r="GM94">
            <v>0.03</v>
          </cell>
          <cell r="GN94">
            <v>0.03</v>
          </cell>
          <cell r="GO94">
            <v>0.03</v>
          </cell>
          <cell r="GP94">
            <v>0.03</v>
          </cell>
          <cell r="GQ94">
            <v>0.03</v>
          </cell>
          <cell r="GR94">
            <v>0.03</v>
          </cell>
          <cell r="GS94">
            <v>2.4E-2</v>
          </cell>
          <cell r="GT94">
            <v>2.4E-2</v>
          </cell>
          <cell r="GU94">
            <v>2.4E-2</v>
          </cell>
          <cell r="GV94">
            <v>2.4E-2</v>
          </cell>
          <cell r="GW94">
            <v>2.4E-2</v>
          </cell>
          <cell r="GX94">
            <v>2.4E-2</v>
          </cell>
          <cell r="GY94">
            <v>2.4E-2</v>
          </cell>
          <cell r="GZ94">
            <v>2.4E-2</v>
          </cell>
          <cell r="HA94">
            <v>0.05</v>
          </cell>
          <cell r="HB94">
            <v>0.05</v>
          </cell>
          <cell r="HC94">
            <v>0.05</v>
          </cell>
          <cell r="HD94">
            <v>0.05</v>
          </cell>
          <cell r="HE94">
            <v>0.05</v>
          </cell>
          <cell r="HF94">
            <v>0.05</v>
          </cell>
          <cell r="HG94">
            <v>0.05</v>
          </cell>
          <cell r="HH94">
            <v>0.05</v>
          </cell>
          <cell r="HI94">
            <v>0.03</v>
          </cell>
          <cell r="HJ94">
            <v>0.03</v>
          </cell>
          <cell r="HK94">
            <v>0.03</v>
          </cell>
          <cell r="HL94">
            <v>0.03</v>
          </cell>
          <cell r="HM94">
            <v>0.03</v>
          </cell>
          <cell r="HN94">
            <v>0.03</v>
          </cell>
          <cell r="HO94">
            <v>2.4E-2</v>
          </cell>
          <cell r="HP94">
            <v>2.4E-2</v>
          </cell>
          <cell r="HQ94">
            <v>2.4E-2</v>
          </cell>
          <cell r="HR94">
            <v>2.4E-2</v>
          </cell>
          <cell r="HS94">
            <v>2.4E-2</v>
          </cell>
          <cell r="HT94">
            <v>2.4E-2</v>
          </cell>
          <cell r="HU94">
            <v>2.4E-2</v>
          </cell>
          <cell r="HV94">
            <v>2.4E-2</v>
          </cell>
          <cell r="HW94" t="str">
            <v>%PPL</v>
          </cell>
        </row>
        <row r="95">
          <cell r="AV95" t="str">
            <v>SSP</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t="str">
            <v>%PMP</v>
          </cell>
        </row>
        <row r="96">
          <cell r="AV96" t="str">
            <v>VSR Appliance Equipment /Accessories</v>
          </cell>
          <cell r="AW96">
            <v>0.1</v>
          </cell>
          <cell r="AX96">
            <v>0.1</v>
          </cell>
          <cell r="AY96">
            <v>0.1</v>
          </cell>
          <cell r="AZ96">
            <v>0.1</v>
          </cell>
          <cell r="BA96">
            <v>0.1</v>
          </cell>
          <cell r="BB96">
            <v>0.1</v>
          </cell>
          <cell r="BC96">
            <v>0.1</v>
          </cell>
          <cell r="BD96">
            <v>0.1</v>
          </cell>
          <cell r="BE96">
            <v>0.1</v>
          </cell>
          <cell r="BF96">
            <v>0.1</v>
          </cell>
          <cell r="BG96">
            <v>0.1</v>
          </cell>
          <cell r="BH96">
            <v>0.1</v>
          </cell>
          <cell r="BI96">
            <v>0.1</v>
          </cell>
          <cell r="BJ96">
            <v>0.1</v>
          </cell>
          <cell r="BK96">
            <v>2.5000000000000001E-2</v>
          </cell>
          <cell r="BL96" t="str">
            <v>%PMP</v>
          </cell>
          <cell r="BM96">
            <v>2.3005000000000001E-2</v>
          </cell>
          <cell r="BN96">
            <v>1.6898936423904231E-2</v>
          </cell>
          <cell r="BO96">
            <v>2.1499999999999998E-2</v>
          </cell>
          <cell r="BP96">
            <v>7.4999999999999997E-3</v>
          </cell>
          <cell r="BQ96">
            <v>2.3005000000000001E-2</v>
          </cell>
          <cell r="BR96">
            <v>1.6898936423904231E-2</v>
          </cell>
          <cell r="BS96">
            <v>2.1499999999999998E-2</v>
          </cell>
          <cell r="BT96">
            <v>1.2633185481947824E-2</v>
          </cell>
          <cell r="BU96">
            <v>2.1499999999999998E-2</v>
          </cell>
          <cell r="BV96">
            <v>1.2200000000000001E-2</v>
          </cell>
          <cell r="BW96">
            <v>2.0400000000000001E-2</v>
          </cell>
          <cell r="BX96">
            <v>9.7999999999999997E-3</v>
          </cell>
          <cell r="BY96">
            <v>2.3599999999999999E-2</v>
          </cell>
          <cell r="BZ96">
            <v>1.44E-2</v>
          </cell>
          <cell r="CA96">
            <v>1.72E-2</v>
          </cell>
          <cell r="CB96">
            <v>7.0099999999999997E-3</v>
          </cell>
          <cell r="CC96">
            <v>1.4330000000000001E-2</v>
          </cell>
          <cell r="CD96">
            <v>3.3400000000000001E-3</v>
          </cell>
          <cell r="CE96">
            <v>1.72E-2</v>
          </cell>
          <cell r="CF96">
            <v>7.0099999999999997E-3</v>
          </cell>
          <cell r="CG96">
            <v>1.4330000000000001E-2</v>
          </cell>
          <cell r="CH96">
            <v>3.3400000000000001E-3</v>
          </cell>
          <cell r="CI96">
            <v>2.1400000000000002E-2</v>
          </cell>
          <cell r="CJ96">
            <v>1.5868193534724788E-2</v>
          </cell>
          <cell r="CK96">
            <v>0.02</v>
          </cell>
          <cell r="CL96">
            <v>1.3508308342381101E-2</v>
          </cell>
          <cell r="CM96">
            <v>2.1400000000000002E-2</v>
          </cell>
          <cell r="CN96">
            <v>1.5868193534724788E-2</v>
          </cell>
          <cell r="CO96">
            <v>0.02</v>
          </cell>
          <cell r="CP96">
            <v>1.3508308342381101E-2</v>
          </cell>
          <cell r="CQ96">
            <v>0.02</v>
          </cell>
          <cell r="CR96">
            <v>1.12E-2</v>
          </cell>
          <cell r="CS96">
            <v>1.8800000000000001E-2</v>
          </cell>
          <cell r="CT96">
            <v>8.8999999999999999E-3</v>
          </cell>
          <cell r="CU96">
            <v>2.1999999999999999E-2</v>
          </cell>
          <cell r="CV96">
            <v>1.32E-2</v>
          </cell>
          <cell r="CW96">
            <v>1.601E-2</v>
          </cell>
          <cell r="CX96">
            <v>6.43E-3</v>
          </cell>
          <cell r="CY96">
            <v>1.4409999999999999E-2</v>
          </cell>
          <cell r="CZ96">
            <v>3.3800000000000002E-3</v>
          </cell>
          <cell r="DA96">
            <v>1.601E-2</v>
          </cell>
          <cell r="DB96">
            <v>6.43E-3</v>
          </cell>
          <cell r="DC96">
            <v>1.4409999999999999E-2</v>
          </cell>
          <cell r="DD96">
            <v>3.3800000000000002E-3</v>
          </cell>
          <cell r="DE96">
            <v>2.0199999999999999E-2</v>
          </cell>
          <cell r="DF96">
            <v>1.46E-2</v>
          </cell>
          <cell r="DG96">
            <v>1.6449999999999999E-2</v>
          </cell>
          <cell r="DH96">
            <v>1.289E-2</v>
          </cell>
          <cell r="DI96">
            <v>2.1614000000000001E-2</v>
          </cell>
          <cell r="DJ96">
            <v>1.9293478527607363E-2</v>
          </cell>
          <cell r="DK96">
            <v>2.0199999999999999E-2</v>
          </cell>
          <cell r="DL96">
            <v>1.7745138888888887E-2</v>
          </cell>
          <cell r="DM96">
            <v>2.1614000000000001E-2</v>
          </cell>
          <cell r="DN96">
            <v>1.9293478527607363E-2</v>
          </cell>
          <cell r="DO96">
            <v>2.0199999999999999E-2</v>
          </cell>
          <cell r="DP96">
            <v>1.7745138888888887E-2</v>
          </cell>
          <cell r="DQ96">
            <v>2.1614000000000001E-2</v>
          </cell>
          <cell r="DR96">
            <v>1.9293478527607363E-2</v>
          </cell>
          <cell r="DS96">
            <v>2.0199999999999999E-2</v>
          </cell>
          <cell r="DT96">
            <v>1.7745138888888887E-2</v>
          </cell>
          <cell r="DU96">
            <v>2.0199999999999999E-2</v>
          </cell>
          <cell r="DV96">
            <v>1.46E-2</v>
          </cell>
          <cell r="DW96">
            <v>1.8599999999999998E-2</v>
          </cell>
          <cell r="DX96">
            <v>1.46E-2</v>
          </cell>
          <cell r="DY96">
            <v>2.23E-2</v>
          </cell>
          <cell r="DZ96">
            <v>1.9E-2</v>
          </cell>
          <cell r="EA96">
            <v>1.6899999999999998E-2</v>
          </cell>
          <cell r="EB96">
            <v>1.21E-2</v>
          </cell>
          <cell r="EC96">
            <v>1.55E-2</v>
          </cell>
          <cell r="ED96">
            <v>1.21E-2</v>
          </cell>
          <cell r="EE96">
            <v>1.6899999999999998E-2</v>
          </cell>
          <cell r="EF96">
            <v>1.21E-2</v>
          </cell>
          <cell r="EG96">
            <v>1.55E-2</v>
          </cell>
          <cell r="EH96">
            <v>1.21E-2</v>
          </cell>
          <cell r="EI96">
            <v>2.1614000000000001E-2</v>
          </cell>
          <cell r="EJ96">
            <v>1.9293478527607363E-2</v>
          </cell>
          <cell r="EK96">
            <v>2.0199999999999999E-2</v>
          </cell>
          <cell r="EL96">
            <v>1.7745138888888887E-2</v>
          </cell>
          <cell r="EM96">
            <v>2.1614000000000001E-2</v>
          </cell>
          <cell r="EN96">
            <v>1.9293478527607363E-2</v>
          </cell>
          <cell r="EO96">
            <v>2.0199999999999999E-2</v>
          </cell>
          <cell r="EP96">
            <v>1.7745138888888887E-2</v>
          </cell>
          <cell r="EQ96">
            <v>2.1614000000000001E-2</v>
          </cell>
          <cell r="ER96">
            <v>1.9293478527607363E-2</v>
          </cell>
          <cell r="ES96">
            <v>2.0199999999999999E-2</v>
          </cell>
          <cell r="ET96">
            <v>1.7745138888888887E-2</v>
          </cell>
          <cell r="EU96">
            <v>2.0199999999999999E-2</v>
          </cell>
          <cell r="EV96">
            <v>1.46E-2</v>
          </cell>
          <cell r="EW96">
            <v>1.8599999999999998E-2</v>
          </cell>
          <cell r="EX96">
            <v>1.46E-2</v>
          </cell>
          <cell r="EY96">
            <v>2.23E-2</v>
          </cell>
          <cell r="EZ96">
            <v>1.9E-2</v>
          </cell>
          <cell r="FA96">
            <v>1.6899999999999998E-2</v>
          </cell>
          <cell r="FB96">
            <v>1.21E-2</v>
          </cell>
          <cell r="FC96">
            <v>1.55E-2</v>
          </cell>
          <cell r="FD96">
            <v>1.21E-2</v>
          </cell>
          <cell r="FE96">
            <v>1.6899999999999998E-2</v>
          </cell>
          <cell r="FF96">
            <v>1.21E-2</v>
          </cell>
          <cell r="FG96">
            <v>1.55E-2</v>
          </cell>
          <cell r="FH96">
            <v>1.21E-2</v>
          </cell>
          <cell r="FI96">
            <v>2.76E-2</v>
          </cell>
          <cell r="FJ96">
            <v>2.4E-2</v>
          </cell>
          <cell r="FK96">
            <v>2.47E-2</v>
          </cell>
          <cell r="FL96">
            <v>2.1100000000000001E-2</v>
          </cell>
          <cell r="FM96">
            <v>2.76E-2</v>
          </cell>
          <cell r="FN96">
            <v>2.4E-2</v>
          </cell>
          <cell r="FO96">
            <v>2.47E-2</v>
          </cell>
          <cell r="FP96">
            <v>2.1100000000000001E-2</v>
          </cell>
          <cell r="FQ96">
            <v>2.1399999999999999E-2</v>
          </cell>
          <cell r="FR96">
            <v>1.61E-2</v>
          </cell>
          <cell r="FS96">
            <v>2.0299999999999999E-2</v>
          </cell>
          <cell r="FT96">
            <v>1.34E-2</v>
          </cell>
          <cell r="FU96">
            <v>2.35E-2</v>
          </cell>
          <cell r="FV96">
            <v>1.6799999999999999E-2</v>
          </cell>
          <cell r="FW96">
            <v>1.8499999999999999E-2</v>
          </cell>
          <cell r="FX96">
            <v>1.4E-2</v>
          </cell>
          <cell r="FY96">
            <v>1.7600000000000001E-2</v>
          </cell>
          <cell r="FZ96">
            <v>1.1599999999999999E-2</v>
          </cell>
          <cell r="GA96">
            <v>1.8499999999999999E-2</v>
          </cell>
          <cell r="GB96">
            <v>1.4E-2</v>
          </cell>
          <cell r="GC96">
            <v>1.7600000000000001E-2</v>
          </cell>
          <cell r="GD96">
            <v>1.1599999999999999E-2</v>
          </cell>
          <cell r="GE96">
            <v>2.18E-2</v>
          </cell>
          <cell r="GF96">
            <v>1.9300000000000001E-2</v>
          </cell>
          <cell r="GG96">
            <v>1.9799999999999998E-2</v>
          </cell>
          <cell r="GH96">
            <v>1.6299999999999999E-2</v>
          </cell>
          <cell r="GI96">
            <v>2.18E-2</v>
          </cell>
          <cell r="GJ96">
            <v>1.9300000000000001E-2</v>
          </cell>
          <cell r="GK96">
            <v>1.9799999999999998E-2</v>
          </cell>
          <cell r="GL96">
            <v>1.6299999999999999E-2</v>
          </cell>
          <cell r="GM96">
            <v>2.1399999999999999E-2</v>
          </cell>
          <cell r="GN96">
            <v>1.5299999999999999E-2</v>
          </cell>
          <cell r="GO96">
            <v>2.0299999999999999E-2</v>
          </cell>
          <cell r="GP96">
            <v>1.26E-2</v>
          </cell>
          <cell r="GQ96">
            <v>2.35E-2</v>
          </cell>
          <cell r="GR96">
            <v>1.55E-2</v>
          </cell>
          <cell r="GS96">
            <v>1.8499999999999999E-2</v>
          </cell>
          <cell r="GT96">
            <v>1.3299999999999999E-2</v>
          </cell>
          <cell r="GU96">
            <v>1.7600000000000001E-2</v>
          </cell>
          <cell r="GV96">
            <v>1.1599999999999999E-2</v>
          </cell>
          <cell r="GW96">
            <v>1.8499999999999999E-2</v>
          </cell>
          <cell r="GX96">
            <v>1.3299999999999999E-2</v>
          </cell>
          <cell r="GY96">
            <v>1.7600000000000001E-2</v>
          </cell>
          <cell r="GZ96">
            <v>1.1599999999999999E-2</v>
          </cell>
          <cell r="HA96">
            <v>2.18E-2</v>
          </cell>
          <cell r="HB96">
            <v>1.9300000000000001E-2</v>
          </cell>
          <cell r="HC96">
            <v>1.9799999999999998E-2</v>
          </cell>
          <cell r="HD96">
            <v>1.6299999999999999E-2</v>
          </cell>
          <cell r="HE96">
            <v>2.18E-2</v>
          </cell>
          <cell r="HF96">
            <v>1.9300000000000001E-2</v>
          </cell>
          <cell r="HG96">
            <v>1.9799999999999998E-2</v>
          </cell>
          <cell r="HH96">
            <v>1.6299999999999999E-2</v>
          </cell>
          <cell r="HI96">
            <v>2.1499999999999998E-2</v>
          </cell>
          <cell r="HJ96">
            <v>1.5299999999999999E-2</v>
          </cell>
          <cell r="HK96">
            <v>2.0400000000000001E-2</v>
          </cell>
          <cell r="HL96">
            <v>1.26E-2</v>
          </cell>
          <cell r="HM96">
            <v>2.3599999999999999E-2</v>
          </cell>
          <cell r="HN96">
            <v>1.5900000000000001E-2</v>
          </cell>
          <cell r="HO96">
            <v>1.8599999999999998E-2</v>
          </cell>
          <cell r="HP96">
            <v>1.3299999999999999E-2</v>
          </cell>
          <cell r="HQ96">
            <v>1.7600000000000001E-2</v>
          </cell>
          <cell r="HR96">
            <v>1.1599999999999999E-2</v>
          </cell>
          <cell r="HS96">
            <v>1.8599999999999998E-2</v>
          </cell>
          <cell r="HT96">
            <v>1.3299999999999999E-2</v>
          </cell>
          <cell r="HU96">
            <v>1.7600000000000001E-2</v>
          </cell>
          <cell r="HV96">
            <v>1.1599999999999999E-2</v>
          </cell>
          <cell r="HW96" t="str">
            <v>%PPL</v>
          </cell>
        </row>
        <row r="97">
          <cell r="AV97" t="str">
            <v>VSR Application Software</v>
          </cell>
          <cell r="AW97">
            <v>0.35</v>
          </cell>
          <cell r="AX97">
            <v>0.35</v>
          </cell>
          <cell r="AY97">
            <v>0.35</v>
          </cell>
          <cell r="AZ97">
            <v>0.35</v>
          </cell>
          <cell r="BA97">
            <v>0.35</v>
          </cell>
          <cell r="BB97">
            <v>0.35</v>
          </cell>
          <cell r="BC97">
            <v>0.35</v>
          </cell>
          <cell r="BD97">
            <v>0.35</v>
          </cell>
          <cell r="BE97">
            <v>0.35</v>
          </cell>
          <cell r="BF97">
            <v>0.35</v>
          </cell>
          <cell r="BG97">
            <v>0.35</v>
          </cell>
          <cell r="BH97">
            <v>0.35</v>
          </cell>
          <cell r="BI97">
            <v>0.35</v>
          </cell>
          <cell r="BJ97">
            <v>0.35</v>
          </cell>
          <cell r="BK97">
            <v>0.2</v>
          </cell>
          <cell r="BL97" t="str">
            <v>%PMP</v>
          </cell>
          <cell r="BM97">
            <v>2.3005000000000001E-2</v>
          </cell>
          <cell r="BN97">
            <v>1.6898936423904231E-2</v>
          </cell>
          <cell r="BO97">
            <v>2.1499999999999998E-2</v>
          </cell>
          <cell r="BP97">
            <v>7.4999999999999997E-3</v>
          </cell>
          <cell r="BQ97">
            <v>2.3005000000000001E-2</v>
          </cell>
          <cell r="BR97">
            <v>1.6898936423904231E-2</v>
          </cell>
          <cell r="BS97">
            <v>2.1499999999999998E-2</v>
          </cell>
          <cell r="BT97">
            <v>1.2633185481947824E-2</v>
          </cell>
          <cell r="BU97">
            <v>2.1499999999999998E-2</v>
          </cell>
          <cell r="BV97">
            <v>1.2200000000000001E-2</v>
          </cell>
          <cell r="BW97">
            <v>2.0400000000000001E-2</v>
          </cell>
          <cell r="BX97">
            <v>9.7999999999999997E-3</v>
          </cell>
          <cell r="BY97">
            <v>2.3599999999999999E-2</v>
          </cell>
          <cell r="BZ97">
            <v>1.44E-2</v>
          </cell>
          <cell r="CA97">
            <v>1.72E-2</v>
          </cell>
          <cell r="CB97">
            <v>7.0099999999999997E-3</v>
          </cell>
          <cell r="CC97">
            <v>1.4330000000000001E-2</v>
          </cell>
          <cell r="CD97">
            <v>3.3400000000000001E-3</v>
          </cell>
          <cell r="CE97">
            <v>1.72E-2</v>
          </cell>
          <cell r="CF97">
            <v>7.0099999999999997E-3</v>
          </cell>
          <cell r="CG97">
            <v>1.4330000000000001E-2</v>
          </cell>
          <cell r="CH97">
            <v>3.3400000000000001E-3</v>
          </cell>
          <cell r="CI97">
            <v>2.1400000000000002E-2</v>
          </cell>
          <cell r="CJ97">
            <v>1.5868193534724788E-2</v>
          </cell>
          <cell r="CK97">
            <v>0.02</v>
          </cell>
          <cell r="CL97">
            <v>1.3508308342381101E-2</v>
          </cell>
          <cell r="CM97">
            <v>2.1400000000000002E-2</v>
          </cell>
          <cell r="CN97">
            <v>1.5868193534724788E-2</v>
          </cell>
          <cell r="CO97">
            <v>0.02</v>
          </cell>
          <cell r="CP97">
            <v>1.3508308342381101E-2</v>
          </cell>
          <cell r="CQ97">
            <v>0.02</v>
          </cell>
          <cell r="CR97">
            <v>1.12E-2</v>
          </cell>
          <cell r="CS97">
            <v>1.8800000000000001E-2</v>
          </cell>
          <cell r="CT97">
            <v>8.8999999999999999E-3</v>
          </cell>
          <cell r="CU97">
            <v>2.1999999999999999E-2</v>
          </cell>
          <cell r="CV97">
            <v>1.32E-2</v>
          </cell>
          <cell r="CW97">
            <v>1.601E-2</v>
          </cell>
          <cell r="CX97">
            <v>6.43E-3</v>
          </cell>
          <cell r="CY97">
            <v>1.4409999999999999E-2</v>
          </cell>
          <cell r="CZ97">
            <v>3.3800000000000002E-3</v>
          </cell>
          <cell r="DA97">
            <v>1.601E-2</v>
          </cell>
          <cell r="DB97">
            <v>6.43E-3</v>
          </cell>
          <cell r="DC97">
            <v>1.4409999999999999E-2</v>
          </cell>
          <cell r="DD97">
            <v>3.3800000000000002E-3</v>
          </cell>
          <cell r="DE97">
            <v>2.0199999999999999E-2</v>
          </cell>
          <cell r="DF97">
            <v>1.46E-2</v>
          </cell>
          <cell r="DG97">
            <v>1.6449999999999999E-2</v>
          </cell>
          <cell r="DH97">
            <v>1.289E-2</v>
          </cell>
          <cell r="DI97">
            <v>2.1614000000000001E-2</v>
          </cell>
          <cell r="DJ97">
            <v>1.9293478527607363E-2</v>
          </cell>
          <cell r="DK97">
            <v>2.0199999999999999E-2</v>
          </cell>
          <cell r="DL97">
            <v>1.7745138888888887E-2</v>
          </cell>
          <cell r="DM97">
            <v>2.1614000000000001E-2</v>
          </cell>
          <cell r="DN97">
            <v>1.9293478527607363E-2</v>
          </cell>
          <cell r="DO97">
            <v>2.0199999999999999E-2</v>
          </cell>
          <cell r="DP97">
            <v>1.7745138888888887E-2</v>
          </cell>
          <cell r="DQ97">
            <v>2.1614000000000001E-2</v>
          </cell>
          <cell r="DR97">
            <v>1.9293478527607363E-2</v>
          </cell>
          <cell r="DS97">
            <v>2.0199999999999999E-2</v>
          </cell>
          <cell r="DT97">
            <v>1.7745138888888887E-2</v>
          </cell>
          <cell r="DU97">
            <v>2.0199999999999999E-2</v>
          </cell>
          <cell r="DV97">
            <v>1.46E-2</v>
          </cell>
          <cell r="DW97">
            <v>1.8599999999999998E-2</v>
          </cell>
          <cell r="DX97">
            <v>1.46E-2</v>
          </cell>
          <cell r="DY97">
            <v>2.23E-2</v>
          </cell>
          <cell r="DZ97">
            <v>1.9E-2</v>
          </cell>
          <cell r="EA97">
            <v>1.6899999999999998E-2</v>
          </cell>
          <cell r="EB97">
            <v>1.21E-2</v>
          </cell>
          <cell r="EC97">
            <v>1.55E-2</v>
          </cell>
          <cell r="ED97">
            <v>1.21E-2</v>
          </cell>
          <cell r="EE97">
            <v>1.6899999999999998E-2</v>
          </cell>
          <cell r="EF97">
            <v>1.21E-2</v>
          </cell>
          <cell r="EG97">
            <v>1.55E-2</v>
          </cell>
          <cell r="EH97">
            <v>1.21E-2</v>
          </cell>
          <cell r="EI97">
            <v>2.1614000000000001E-2</v>
          </cell>
          <cell r="EJ97">
            <v>1.9293478527607363E-2</v>
          </cell>
          <cell r="EK97">
            <v>2.0199999999999999E-2</v>
          </cell>
          <cell r="EL97">
            <v>1.7745138888888887E-2</v>
          </cell>
          <cell r="EM97">
            <v>2.1614000000000001E-2</v>
          </cell>
          <cell r="EN97">
            <v>1.9293478527607363E-2</v>
          </cell>
          <cell r="EO97">
            <v>2.0199999999999999E-2</v>
          </cell>
          <cell r="EP97">
            <v>1.7745138888888887E-2</v>
          </cell>
          <cell r="EQ97">
            <v>2.1614000000000001E-2</v>
          </cell>
          <cell r="ER97">
            <v>1.9293478527607363E-2</v>
          </cell>
          <cell r="ES97">
            <v>2.0199999999999999E-2</v>
          </cell>
          <cell r="ET97">
            <v>1.7745138888888887E-2</v>
          </cell>
          <cell r="EU97">
            <v>2.0199999999999999E-2</v>
          </cell>
          <cell r="EV97">
            <v>1.46E-2</v>
          </cell>
          <cell r="EW97">
            <v>1.8599999999999998E-2</v>
          </cell>
          <cell r="EX97">
            <v>1.46E-2</v>
          </cell>
          <cell r="EY97">
            <v>2.23E-2</v>
          </cell>
          <cell r="EZ97">
            <v>1.9E-2</v>
          </cell>
          <cell r="FA97">
            <v>1.6899999999999998E-2</v>
          </cell>
          <cell r="FB97">
            <v>1.21E-2</v>
          </cell>
          <cell r="FC97">
            <v>1.55E-2</v>
          </cell>
          <cell r="FD97">
            <v>1.21E-2</v>
          </cell>
          <cell r="FE97">
            <v>1.6899999999999998E-2</v>
          </cell>
          <cell r="FF97">
            <v>1.21E-2</v>
          </cell>
          <cell r="FG97">
            <v>1.55E-2</v>
          </cell>
          <cell r="FH97">
            <v>1.21E-2</v>
          </cell>
          <cell r="FI97">
            <v>2.76E-2</v>
          </cell>
          <cell r="FJ97">
            <v>2.4E-2</v>
          </cell>
          <cell r="FK97">
            <v>2.47E-2</v>
          </cell>
          <cell r="FL97">
            <v>2.1100000000000001E-2</v>
          </cell>
          <cell r="FM97">
            <v>2.76E-2</v>
          </cell>
          <cell r="FN97">
            <v>2.4E-2</v>
          </cell>
          <cell r="FO97">
            <v>2.47E-2</v>
          </cell>
          <cell r="FP97">
            <v>2.1100000000000001E-2</v>
          </cell>
          <cell r="FQ97">
            <v>2.1399999999999999E-2</v>
          </cell>
          <cell r="FR97">
            <v>1.61E-2</v>
          </cell>
          <cell r="FS97">
            <v>2.0299999999999999E-2</v>
          </cell>
          <cell r="FT97">
            <v>1.34E-2</v>
          </cell>
          <cell r="FU97">
            <v>2.35E-2</v>
          </cell>
          <cell r="FV97">
            <v>1.6799999999999999E-2</v>
          </cell>
          <cell r="FW97">
            <v>1.8499999999999999E-2</v>
          </cell>
          <cell r="FX97">
            <v>1.4E-2</v>
          </cell>
          <cell r="FY97">
            <v>1.7600000000000001E-2</v>
          </cell>
          <cell r="FZ97">
            <v>1.1599999999999999E-2</v>
          </cell>
          <cell r="GA97">
            <v>1.8499999999999999E-2</v>
          </cell>
          <cell r="GB97">
            <v>1.4E-2</v>
          </cell>
          <cell r="GC97">
            <v>1.7600000000000001E-2</v>
          </cell>
          <cell r="GD97">
            <v>1.1599999999999999E-2</v>
          </cell>
          <cell r="GE97">
            <v>2.18E-2</v>
          </cell>
          <cell r="GF97">
            <v>1.9300000000000001E-2</v>
          </cell>
          <cell r="GG97">
            <v>1.9799999999999998E-2</v>
          </cell>
          <cell r="GH97">
            <v>1.6299999999999999E-2</v>
          </cell>
          <cell r="GI97">
            <v>2.18E-2</v>
          </cell>
          <cell r="GJ97">
            <v>1.9300000000000001E-2</v>
          </cell>
          <cell r="GK97">
            <v>1.9799999999999998E-2</v>
          </cell>
          <cell r="GL97">
            <v>1.6299999999999999E-2</v>
          </cell>
          <cell r="GM97">
            <v>2.1399999999999999E-2</v>
          </cell>
          <cell r="GN97">
            <v>1.5299999999999999E-2</v>
          </cell>
          <cell r="GO97">
            <v>2.0299999999999999E-2</v>
          </cell>
          <cell r="GP97">
            <v>1.26E-2</v>
          </cell>
          <cell r="GQ97">
            <v>2.35E-2</v>
          </cell>
          <cell r="GR97">
            <v>1.55E-2</v>
          </cell>
          <cell r="GS97">
            <v>1.8499999999999999E-2</v>
          </cell>
          <cell r="GT97">
            <v>1.3299999999999999E-2</v>
          </cell>
          <cell r="GU97">
            <v>1.7600000000000001E-2</v>
          </cell>
          <cell r="GV97">
            <v>1.1599999999999999E-2</v>
          </cell>
          <cell r="GW97">
            <v>1.8499999999999999E-2</v>
          </cell>
          <cell r="GX97">
            <v>1.3299999999999999E-2</v>
          </cell>
          <cell r="GY97">
            <v>1.7600000000000001E-2</v>
          </cell>
          <cell r="GZ97">
            <v>1.1599999999999999E-2</v>
          </cell>
          <cell r="HA97">
            <v>2.18E-2</v>
          </cell>
          <cell r="HB97">
            <v>1.9300000000000001E-2</v>
          </cell>
          <cell r="HC97">
            <v>1.9799999999999998E-2</v>
          </cell>
          <cell r="HD97">
            <v>1.6299999999999999E-2</v>
          </cell>
          <cell r="HE97">
            <v>2.18E-2</v>
          </cell>
          <cell r="HF97">
            <v>1.9300000000000001E-2</v>
          </cell>
          <cell r="HG97">
            <v>1.9799999999999998E-2</v>
          </cell>
          <cell r="HH97">
            <v>1.6299999999999999E-2</v>
          </cell>
          <cell r="HI97">
            <v>2.1499999999999998E-2</v>
          </cell>
          <cell r="HJ97">
            <v>1.5299999999999999E-2</v>
          </cell>
          <cell r="HK97">
            <v>2.0400000000000001E-2</v>
          </cell>
          <cell r="HL97">
            <v>1.26E-2</v>
          </cell>
          <cell r="HM97">
            <v>2.3599999999999999E-2</v>
          </cell>
          <cell r="HN97">
            <v>1.5900000000000001E-2</v>
          </cell>
          <cell r="HO97">
            <v>1.8599999999999998E-2</v>
          </cell>
          <cell r="HP97">
            <v>1.3299999999999999E-2</v>
          </cell>
          <cell r="HQ97">
            <v>1.7600000000000001E-2</v>
          </cell>
          <cell r="HR97">
            <v>1.1599999999999999E-2</v>
          </cell>
          <cell r="HS97">
            <v>1.8599999999999998E-2</v>
          </cell>
          <cell r="HT97">
            <v>1.3299999999999999E-2</v>
          </cell>
          <cell r="HU97">
            <v>1.7600000000000001E-2</v>
          </cell>
          <cell r="HV97">
            <v>1.1599999999999999E-2</v>
          </cell>
          <cell r="HW97" t="str">
            <v>%PPL</v>
          </cell>
        </row>
        <row r="98">
          <cell r="AV98" t="str">
            <v>VSR-RR</v>
          </cell>
          <cell r="AW98">
            <v>0.4</v>
          </cell>
          <cell r="AX98">
            <v>0.4</v>
          </cell>
          <cell r="AY98">
            <v>0.4</v>
          </cell>
          <cell r="AZ98">
            <v>0.4</v>
          </cell>
          <cell r="BA98">
            <v>0.4</v>
          </cell>
          <cell r="BB98">
            <v>0.4</v>
          </cell>
          <cell r="BC98">
            <v>0.4</v>
          </cell>
          <cell r="BD98">
            <v>0.4</v>
          </cell>
          <cell r="BE98">
            <v>0.4</v>
          </cell>
          <cell r="BF98">
            <v>0.4</v>
          </cell>
          <cell r="BG98">
            <v>0.4</v>
          </cell>
          <cell r="BH98">
            <v>0.4</v>
          </cell>
          <cell r="BI98">
            <v>0.4</v>
          </cell>
          <cell r="BJ98">
            <v>0.4</v>
          </cell>
          <cell r="BK98">
            <v>0.2</v>
          </cell>
          <cell r="BL98" t="str">
            <v>%PMP</v>
          </cell>
          <cell r="BM98">
            <v>2.3005000000000001E-2</v>
          </cell>
          <cell r="BN98">
            <v>1.6898936423904231E-2</v>
          </cell>
          <cell r="BO98">
            <v>2.1499999999999998E-2</v>
          </cell>
          <cell r="BP98">
            <v>7.4999999999999997E-3</v>
          </cell>
          <cell r="BQ98">
            <v>2.3005000000000001E-2</v>
          </cell>
          <cell r="BR98">
            <v>1.6898936423904231E-2</v>
          </cell>
          <cell r="BS98">
            <v>2.1499999999999998E-2</v>
          </cell>
          <cell r="BT98">
            <v>1.2633185481947824E-2</v>
          </cell>
          <cell r="BU98">
            <v>2.1499999999999998E-2</v>
          </cell>
          <cell r="BV98">
            <v>1.2200000000000001E-2</v>
          </cell>
          <cell r="BW98">
            <v>2.0400000000000001E-2</v>
          </cell>
          <cell r="BX98">
            <v>9.7999999999999997E-3</v>
          </cell>
          <cell r="BY98">
            <v>2.3599999999999999E-2</v>
          </cell>
          <cell r="BZ98">
            <v>1.44E-2</v>
          </cell>
          <cell r="CA98">
            <v>1.72E-2</v>
          </cell>
          <cell r="CB98">
            <v>7.0099999999999997E-3</v>
          </cell>
          <cell r="CC98">
            <v>1.4330000000000001E-2</v>
          </cell>
          <cell r="CD98">
            <v>3.3400000000000001E-3</v>
          </cell>
          <cell r="CE98">
            <v>1.72E-2</v>
          </cell>
          <cell r="CF98">
            <v>7.0099999999999997E-3</v>
          </cell>
          <cell r="CG98">
            <v>1.4330000000000001E-2</v>
          </cell>
          <cell r="CH98">
            <v>3.3400000000000001E-3</v>
          </cell>
          <cell r="CI98">
            <v>2.1400000000000002E-2</v>
          </cell>
          <cell r="CJ98">
            <v>1.5868193534724788E-2</v>
          </cell>
          <cell r="CK98">
            <v>0.02</v>
          </cell>
          <cell r="CL98">
            <v>1.3508308342381101E-2</v>
          </cell>
          <cell r="CM98">
            <v>2.1400000000000002E-2</v>
          </cell>
          <cell r="CN98">
            <v>1.5868193534724788E-2</v>
          </cell>
          <cell r="CO98">
            <v>0.02</v>
          </cell>
          <cell r="CP98">
            <v>1.3508308342381101E-2</v>
          </cell>
          <cell r="CQ98">
            <v>0.02</v>
          </cell>
          <cell r="CR98">
            <v>1.12E-2</v>
          </cell>
          <cell r="CS98">
            <v>1.8800000000000001E-2</v>
          </cell>
          <cell r="CT98">
            <v>8.8999999999999999E-3</v>
          </cell>
          <cell r="CU98">
            <v>2.1999999999999999E-2</v>
          </cell>
          <cell r="CV98">
            <v>1.32E-2</v>
          </cell>
          <cell r="CW98">
            <v>1.601E-2</v>
          </cell>
          <cell r="CX98">
            <v>6.43E-3</v>
          </cell>
          <cell r="CY98">
            <v>1.4409999999999999E-2</v>
          </cell>
          <cell r="CZ98">
            <v>3.3800000000000002E-3</v>
          </cell>
          <cell r="DA98">
            <v>1.601E-2</v>
          </cell>
          <cell r="DB98">
            <v>6.43E-3</v>
          </cell>
          <cell r="DC98">
            <v>1.4409999999999999E-2</v>
          </cell>
          <cell r="DD98">
            <v>3.3800000000000002E-3</v>
          </cell>
          <cell r="DE98">
            <v>2.0199999999999999E-2</v>
          </cell>
          <cell r="DF98">
            <v>1.46E-2</v>
          </cell>
          <cell r="DG98">
            <v>1.6449999999999999E-2</v>
          </cell>
          <cell r="DH98">
            <v>1.289E-2</v>
          </cell>
          <cell r="DI98">
            <v>2.1614000000000001E-2</v>
          </cell>
          <cell r="DJ98">
            <v>1.9298214285714287E-2</v>
          </cell>
          <cell r="DK98">
            <v>2.0199999999999999E-2</v>
          </cell>
          <cell r="DL98">
            <v>1.7745138888888887E-2</v>
          </cell>
          <cell r="DM98">
            <v>2.1614000000000001E-2</v>
          </cell>
          <cell r="DN98">
            <v>1.9298214285714287E-2</v>
          </cell>
          <cell r="DO98">
            <v>2.0199999999999999E-2</v>
          </cell>
          <cell r="DP98">
            <v>1.7745138888888887E-2</v>
          </cell>
          <cell r="DQ98">
            <v>2.1614000000000001E-2</v>
          </cell>
          <cell r="DR98">
            <v>1.9298214285714287E-2</v>
          </cell>
          <cell r="DS98">
            <v>2.0199999999999999E-2</v>
          </cell>
          <cell r="DT98">
            <v>1.7745138888888887E-2</v>
          </cell>
          <cell r="DU98">
            <v>2.0199999999999999E-2</v>
          </cell>
          <cell r="DV98">
            <v>1.46E-2</v>
          </cell>
          <cell r="DW98">
            <v>1.8599999999999998E-2</v>
          </cell>
          <cell r="DX98">
            <v>1.46E-2</v>
          </cell>
          <cell r="DY98">
            <v>2.23E-2</v>
          </cell>
          <cell r="DZ98">
            <v>1.9E-2</v>
          </cell>
          <cell r="EA98">
            <v>1.6899999999999998E-2</v>
          </cell>
          <cell r="EB98">
            <v>1.21E-2</v>
          </cell>
          <cell r="EC98">
            <v>1.55E-2</v>
          </cell>
          <cell r="ED98">
            <v>1.21E-2</v>
          </cell>
          <cell r="EE98">
            <v>1.6899999999999998E-2</v>
          </cell>
          <cell r="EF98">
            <v>1.21E-2</v>
          </cell>
          <cell r="EG98">
            <v>1.55E-2</v>
          </cell>
          <cell r="EH98">
            <v>1.21E-2</v>
          </cell>
          <cell r="EI98">
            <v>2.1614000000000001E-2</v>
          </cell>
          <cell r="EJ98">
            <v>1.9298214285714287E-2</v>
          </cell>
          <cell r="EK98">
            <v>2.0199999999999999E-2</v>
          </cell>
          <cell r="EL98">
            <v>1.7745138888888887E-2</v>
          </cell>
          <cell r="EM98">
            <v>2.1614000000000001E-2</v>
          </cell>
          <cell r="EN98">
            <v>1.9298214285714287E-2</v>
          </cell>
          <cell r="EO98">
            <v>2.0199999999999999E-2</v>
          </cell>
          <cell r="EP98">
            <v>1.7745138888888887E-2</v>
          </cell>
          <cell r="EQ98">
            <v>2.1614000000000001E-2</v>
          </cell>
          <cell r="ER98">
            <v>1.9298214285714287E-2</v>
          </cell>
          <cell r="ES98">
            <v>2.0199999999999999E-2</v>
          </cell>
          <cell r="ET98">
            <v>1.7745138888888887E-2</v>
          </cell>
          <cell r="EU98">
            <v>2.0199999999999999E-2</v>
          </cell>
          <cell r="EV98">
            <v>1.46E-2</v>
          </cell>
          <cell r="EW98">
            <v>1.8599999999999998E-2</v>
          </cell>
          <cell r="EX98">
            <v>1.46E-2</v>
          </cell>
          <cell r="EY98">
            <v>2.23E-2</v>
          </cell>
          <cell r="EZ98">
            <v>1.9E-2</v>
          </cell>
          <cell r="FA98">
            <v>1.6899999999999998E-2</v>
          </cell>
          <cell r="FB98">
            <v>1.21E-2</v>
          </cell>
          <cell r="FC98">
            <v>1.55E-2</v>
          </cell>
          <cell r="FD98">
            <v>1.21E-2</v>
          </cell>
          <cell r="FE98">
            <v>1.6899999999999998E-2</v>
          </cell>
          <cell r="FF98">
            <v>1.21E-2</v>
          </cell>
          <cell r="FG98">
            <v>1.55E-2</v>
          </cell>
          <cell r="FH98">
            <v>1.21E-2</v>
          </cell>
          <cell r="FI98">
            <v>2.76E-2</v>
          </cell>
          <cell r="FJ98">
            <v>2.4E-2</v>
          </cell>
          <cell r="FK98">
            <v>2.47E-2</v>
          </cell>
          <cell r="FL98">
            <v>2.1100000000000001E-2</v>
          </cell>
          <cell r="FM98">
            <v>2.76E-2</v>
          </cell>
          <cell r="FN98">
            <v>2.4E-2</v>
          </cell>
          <cell r="FO98">
            <v>2.47E-2</v>
          </cell>
          <cell r="FP98">
            <v>2.1100000000000001E-2</v>
          </cell>
          <cell r="FQ98">
            <v>2.1399999999999999E-2</v>
          </cell>
          <cell r="FR98">
            <v>1.61E-2</v>
          </cell>
          <cell r="FS98">
            <v>2.0299999999999999E-2</v>
          </cell>
          <cell r="FT98">
            <v>1.34E-2</v>
          </cell>
          <cell r="FU98">
            <v>2.35E-2</v>
          </cell>
          <cell r="FV98">
            <v>1.6799999999999999E-2</v>
          </cell>
          <cell r="FW98">
            <v>1.8499999999999999E-2</v>
          </cell>
          <cell r="FX98">
            <v>1.4E-2</v>
          </cell>
          <cell r="FY98">
            <v>1.7600000000000001E-2</v>
          </cell>
          <cell r="FZ98">
            <v>1.1599999999999999E-2</v>
          </cell>
          <cell r="GA98">
            <v>1.8499999999999999E-2</v>
          </cell>
          <cell r="GB98">
            <v>1.4E-2</v>
          </cell>
          <cell r="GC98">
            <v>1.7600000000000001E-2</v>
          </cell>
          <cell r="GD98">
            <v>1.1599999999999999E-2</v>
          </cell>
          <cell r="GE98">
            <v>2.18E-2</v>
          </cell>
          <cell r="GF98">
            <v>1.9300000000000001E-2</v>
          </cell>
          <cell r="GG98">
            <v>1.9799999999999998E-2</v>
          </cell>
          <cell r="GH98">
            <v>1.6299999999999999E-2</v>
          </cell>
          <cell r="GI98">
            <v>2.18E-2</v>
          </cell>
          <cell r="GJ98">
            <v>1.9300000000000001E-2</v>
          </cell>
          <cell r="GK98">
            <v>1.9799999999999998E-2</v>
          </cell>
          <cell r="GL98">
            <v>1.6299999999999999E-2</v>
          </cell>
          <cell r="GM98">
            <v>2.1399999999999999E-2</v>
          </cell>
          <cell r="GN98">
            <v>1.5299999999999999E-2</v>
          </cell>
          <cell r="GO98">
            <v>2.0299999999999999E-2</v>
          </cell>
          <cell r="GP98">
            <v>1.26E-2</v>
          </cell>
          <cell r="GQ98">
            <v>2.35E-2</v>
          </cell>
          <cell r="GR98">
            <v>1.55E-2</v>
          </cell>
          <cell r="GS98">
            <v>1.8499999999999999E-2</v>
          </cell>
          <cell r="GT98">
            <v>1.3299999999999999E-2</v>
          </cell>
          <cell r="GU98">
            <v>1.7600000000000001E-2</v>
          </cell>
          <cell r="GV98">
            <v>1.1599999999999999E-2</v>
          </cell>
          <cell r="GW98">
            <v>1.8499999999999999E-2</v>
          </cell>
          <cell r="GX98">
            <v>1.3299999999999999E-2</v>
          </cell>
          <cell r="GY98">
            <v>1.7600000000000001E-2</v>
          </cell>
          <cell r="GZ98">
            <v>1.1599999999999999E-2</v>
          </cell>
          <cell r="HA98">
            <v>2.18E-2</v>
          </cell>
          <cell r="HB98">
            <v>1.9300000000000001E-2</v>
          </cell>
          <cell r="HC98">
            <v>1.9799999999999998E-2</v>
          </cell>
          <cell r="HD98">
            <v>1.6299999999999999E-2</v>
          </cell>
          <cell r="HE98">
            <v>2.18E-2</v>
          </cell>
          <cell r="HF98">
            <v>1.9300000000000001E-2</v>
          </cell>
          <cell r="HG98">
            <v>1.9799999999999998E-2</v>
          </cell>
          <cell r="HH98">
            <v>1.6299999999999999E-2</v>
          </cell>
          <cell r="HI98">
            <v>2.1499999999999998E-2</v>
          </cell>
          <cell r="HJ98">
            <v>1.5299999999999999E-2</v>
          </cell>
          <cell r="HK98">
            <v>2.0400000000000001E-2</v>
          </cell>
          <cell r="HL98">
            <v>1.26E-2</v>
          </cell>
          <cell r="HM98">
            <v>2.3599999999999999E-2</v>
          </cell>
          <cell r="HN98">
            <v>1.5900000000000001E-2</v>
          </cell>
          <cell r="HO98">
            <v>1.8599999999999998E-2</v>
          </cell>
          <cell r="HP98">
            <v>1.3299999999999999E-2</v>
          </cell>
          <cell r="HQ98">
            <v>1.7600000000000001E-2</v>
          </cell>
          <cell r="HR98">
            <v>1.1599999999999999E-2</v>
          </cell>
          <cell r="HS98">
            <v>1.8599999999999998E-2</v>
          </cell>
          <cell r="HT98">
            <v>1.3299999999999999E-2</v>
          </cell>
          <cell r="HU98">
            <v>1.7600000000000001E-2</v>
          </cell>
          <cell r="HV98">
            <v>1.1599999999999999E-2</v>
          </cell>
          <cell r="HW98" t="str">
            <v>%PPL</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rcial BoQ Prices"/>
      <sheetName val="Customer BoQ"/>
      <sheetName val="SUMMARY"/>
      <sheetName val="AGGREGATION to PREAGG_Migration"/>
      <sheetName val="SR12E&amp;SR7_Card Expansion"/>
      <sheetName val="IXR Card Expansion"/>
      <sheetName val="PREAGG_v2_SR7B"/>
      <sheetName val="PREAGG_IXR_R6v2"/>
      <sheetName val="CSG_V1"/>
      <sheetName val="ESA"/>
      <sheetName val="SFPs required on AGG side"/>
      <sheetName val="100G QSFP PLAN"/>
      <sheetName val="Accessories"/>
    </sheetNames>
    <sheetDataSet>
      <sheetData sheetId="0"/>
      <sheetData sheetId="1"/>
      <sheetData sheetId="2"/>
      <sheetData sheetId="3">
        <row r="1">
          <cell r="A1" t="str">
            <v>PN</v>
          </cell>
          <cell r="C1" t="str">
            <v>Price</v>
          </cell>
          <cell r="D1" t="str">
            <v>Qty</v>
          </cell>
        </row>
        <row r="2">
          <cell r="A2" t="str">
            <v>SR7B Upgrade for PAGG Layer</v>
          </cell>
          <cell r="C2">
            <v>40002.371199999994</v>
          </cell>
          <cell r="D2">
            <v>4</v>
          </cell>
        </row>
        <row r="3">
          <cell r="A3" t="str">
            <v>3HE13739AA</v>
          </cell>
          <cell r="C3">
            <v>0</v>
          </cell>
          <cell r="D3">
            <v>4</v>
          </cell>
        </row>
        <row r="4">
          <cell r="A4" t="str">
            <v>3HE13504AA</v>
          </cell>
          <cell r="C4">
            <v>0</v>
          </cell>
          <cell r="D4">
            <v>4</v>
          </cell>
        </row>
        <row r="5">
          <cell r="A5" t="str">
            <v>3HE12332BA</v>
          </cell>
          <cell r="C5">
            <v>28500</v>
          </cell>
          <cell r="D5">
            <v>8</v>
          </cell>
        </row>
        <row r="6">
          <cell r="A6" t="str">
            <v>3HE15151AA</v>
          </cell>
          <cell r="C6">
            <v>21600</v>
          </cell>
          <cell r="D6">
            <v>4</v>
          </cell>
        </row>
        <row r="7">
          <cell r="A7" t="str">
            <v>3HE15808AA</v>
          </cell>
          <cell r="C7">
            <v>1000</v>
          </cell>
          <cell r="D7">
            <v>4</v>
          </cell>
        </row>
        <row r="8">
          <cell r="A8" t="str">
            <v>7210 SAS-Sx Bundle</v>
          </cell>
          <cell r="C8">
            <v>18000</v>
          </cell>
          <cell r="D8">
            <v>4</v>
          </cell>
        </row>
        <row r="9">
          <cell r="A9" t="str">
            <v>3HE11471CA</v>
          </cell>
          <cell r="C9">
            <v>40</v>
          </cell>
          <cell r="D9">
            <v>4</v>
          </cell>
        </row>
        <row r="10">
          <cell r="A10" t="str">
            <v>3HELB019AA</v>
          </cell>
          <cell r="C10">
            <v>100</v>
          </cell>
          <cell r="D10">
            <v>4</v>
          </cell>
        </row>
        <row r="11">
          <cell r="A11" t="str">
            <v>3HE16016AA</v>
          </cell>
          <cell r="C11">
            <v>450</v>
          </cell>
          <cell r="D11">
            <v>4</v>
          </cell>
        </row>
        <row r="12">
          <cell r="A12" t="str">
            <v>3HE16254NSP</v>
          </cell>
          <cell r="C12">
            <v>28</v>
          </cell>
          <cell r="D12">
            <v>2040</v>
          </cell>
        </row>
        <row r="13">
          <cell r="A13" t="str">
            <v>1AK23152AAAA</v>
          </cell>
          <cell r="C13">
            <v>599.99999999999989</v>
          </cell>
          <cell r="D13">
            <v>28</v>
          </cell>
        </row>
        <row r="14">
          <cell r="A14" t="str">
            <v>1AK23148AAAA</v>
          </cell>
          <cell r="C14">
            <v>240</v>
          </cell>
          <cell r="D14">
            <v>0</v>
          </cell>
        </row>
        <row r="15">
          <cell r="A15" t="str">
            <v>3HE00028CA</v>
          </cell>
          <cell r="C15">
            <v>40</v>
          </cell>
          <cell r="D15">
            <v>40</v>
          </cell>
        </row>
        <row r="16">
          <cell r="A16" t="str">
            <v>3HE00867CA</v>
          </cell>
          <cell r="C16">
            <v>80</v>
          </cell>
          <cell r="D16">
            <v>12</v>
          </cell>
        </row>
        <row r="17">
          <cell r="A17" t="str">
            <v>3HE00029CA</v>
          </cell>
          <cell r="C17">
            <v>160</v>
          </cell>
          <cell r="D17">
            <v>8</v>
          </cell>
        </row>
        <row r="18">
          <cell r="A18" t="str">
            <v>3BK08959BA</v>
          </cell>
          <cell r="C18">
            <v>5.81175</v>
          </cell>
          <cell r="D18">
            <v>8</v>
          </cell>
        </row>
        <row r="19">
          <cell r="A19" t="str">
            <v>3BK08958BA</v>
          </cell>
          <cell r="C19">
            <v>5.81175</v>
          </cell>
          <cell r="D19">
            <v>8</v>
          </cell>
        </row>
        <row r="20">
          <cell r="A20" t="str">
            <v>1AB377380006</v>
          </cell>
          <cell r="C20">
            <v>4.72</v>
          </cell>
          <cell r="D20">
            <v>824</v>
          </cell>
        </row>
        <row r="21">
          <cell r="A21" t="str">
            <v xml:space="preserve">PAGG/SCSG HW Installation &amp; Commissioning </v>
          </cell>
          <cell r="C21">
            <v>3973.2</v>
          </cell>
          <cell r="D21">
            <v>4</v>
          </cell>
        </row>
        <row r="22">
          <cell r="A22" t="str">
            <v>SWAP Aggregation (Replacement/Upgrade) Migration (Port by Port)</v>
          </cell>
          <cell r="C22">
            <v>50000</v>
          </cell>
          <cell r="D22">
            <v>4</v>
          </cell>
        </row>
        <row r="23">
          <cell r="A23" t="str">
            <v>3HE400GLRtoZR</v>
          </cell>
          <cell r="C23">
            <v>2300</v>
          </cell>
          <cell r="D23">
            <v>4</v>
          </cell>
        </row>
        <row r="24">
          <cell r="A24" t="str">
            <v>3HE10550AA</v>
          </cell>
          <cell r="C24">
            <v>3000</v>
          </cell>
          <cell r="D24">
            <v>0</v>
          </cell>
        </row>
        <row r="25">
          <cell r="A25" t="str">
            <v>3HE16558AA</v>
          </cell>
          <cell r="C25">
            <v>5100</v>
          </cell>
          <cell r="D25">
            <v>0</v>
          </cell>
        </row>
        <row r="26">
          <cell r="A26"/>
          <cell r="C26"/>
          <cell r="D26"/>
        </row>
      </sheetData>
      <sheetData sheetId="4">
        <row r="1">
          <cell r="A1" t="str">
            <v>AGG_V2 Upgrade of the existing SR12E: 4</v>
          </cell>
        </row>
        <row r="2">
          <cell r="A2" t="str">
            <v>PN</v>
          </cell>
          <cell r="D2" t="str">
            <v>Qty</v>
          </cell>
        </row>
        <row r="3">
          <cell r="A3" t="str">
            <v>AGG_SR12E_Upgrade_100G</v>
          </cell>
          <cell r="D3">
            <v>12</v>
          </cell>
        </row>
        <row r="4">
          <cell r="A4" t="str">
            <v>3HE11239AA</v>
          </cell>
          <cell r="D4">
            <v>0</v>
          </cell>
        </row>
        <row r="5">
          <cell r="A5" t="str">
            <v>3HE16558AA</v>
          </cell>
          <cell r="D5">
            <v>0</v>
          </cell>
        </row>
        <row r="6">
          <cell r="A6" t="str">
            <v>1AB377380006</v>
          </cell>
          <cell r="D6">
            <v>72</v>
          </cell>
        </row>
        <row r="7">
          <cell r="A7" t="str">
            <v>3HE16254NSP</v>
          </cell>
          <cell r="D7">
            <v>1440</v>
          </cell>
        </row>
        <row r="8">
          <cell r="A8" t="str">
            <v>3HE16016AA</v>
          </cell>
          <cell r="D8">
            <v>12</v>
          </cell>
        </row>
        <row r="9">
          <cell r="A9" t="str">
            <v>Card Expansion Installation&amp;Integration</v>
          </cell>
          <cell r="D9">
            <v>12</v>
          </cell>
        </row>
        <row r="10">
          <cell r="A10" t="str">
            <v>Price</v>
          </cell>
          <cell r="D10"/>
        </row>
        <row r="12">
          <cell r="A12" t="str">
            <v>PN</v>
          </cell>
          <cell r="D12" t="str">
            <v>Qty</v>
          </cell>
        </row>
        <row r="13">
          <cell r="A13" t="str">
            <v>7210 SAS-Sx Bundle</v>
          </cell>
          <cell r="D13">
            <v>14</v>
          </cell>
        </row>
        <row r="14">
          <cell r="A14" t="str">
            <v>3HE11471CA</v>
          </cell>
          <cell r="D14">
            <v>14</v>
          </cell>
        </row>
        <row r="15">
          <cell r="A15" t="str">
            <v>3BK08959BA</v>
          </cell>
          <cell r="D15">
            <v>28</v>
          </cell>
        </row>
        <row r="16">
          <cell r="A16" t="str">
            <v>3BK08958BA</v>
          </cell>
          <cell r="D16">
            <v>28</v>
          </cell>
        </row>
        <row r="17">
          <cell r="A17" t="str">
            <v>1AB377380006</v>
          </cell>
          <cell r="D17">
            <v>1904</v>
          </cell>
        </row>
        <row r="18">
          <cell r="A18" t="str">
            <v>3HE16254NSP</v>
          </cell>
          <cell r="D18">
            <v>420</v>
          </cell>
        </row>
        <row r="19">
          <cell r="A19" t="str">
            <v>Card Expansion Installation&amp;Integration</v>
          </cell>
          <cell r="D19">
            <v>14</v>
          </cell>
        </row>
        <row r="20">
          <cell r="A20" t="str">
            <v>3HE10550AA</v>
          </cell>
          <cell r="D20">
            <v>0</v>
          </cell>
        </row>
        <row r="21">
          <cell r="A21" t="str">
            <v>Price</v>
          </cell>
          <cell r="D21"/>
        </row>
        <row r="23">
          <cell r="A23" t="str">
            <v>TOTAL</v>
          </cell>
          <cell r="D23"/>
        </row>
      </sheetData>
      <sheetData sheetId="5">
        <row r="1">
          <cell r="A1" t="str">
            <v>PN</v>
          </cell>
          <cell r="D1" t="str">
            <v>Qty</v>
          </cell>
        </row>
        <row r="2">
          <cell r="A2" t="str">
            <v>3HE11280AA</v>
          </cell>
          <cell r="D2">
            <v>25</v>
          </cell>
        </row>
        <row r="3">
          <cell r="A3" t="str">
            <v>3HE09327AA</v>
          </cell>
          <cell r="D3">
            <v>175</v>
          </cell>
        </row>
        <row r="4">
          <cell r="A4" t="str">
            <v>3HE09328AA</v>
          </cell>
          <cell r="D4">
            <v>50</v>
          </cell>
        </row>
        <row r="5">
          <cell r="A5" t="str">
            <v>3HE09329AA</v>
          </cell>
          <cell r="D5">
            <v>25</v>
          </cell>
        </row>
        <row r="6">
          <cell r="A6" t="str">
            <v>1AB377380006</v>
          </cell>
          <cell r="D6">
            <v>500</v>
          </cell>
        </row>
        <row r="7">
          <cell r="A7" t="str">
            <v>3HE16254NSP</v>
          </cell>
          <cell r="D7">
            <v>575</v>
          </cell>
        </row>
        <row r="8">
          <cell r="A8" t="str">
            <v>3HE16018AA</v>
          </cell>
          <cell r="D8">
            <v>25</v>
          </cell>
        </row>
        <row r="9">
          <cell r="A9" t="str">
            <v>Card Expansion Installation&amp;Integration</v>
          </cell>
          <cell r="D9">
            <v>25</v>
          </cell>
        </row>
        <row r="10">
          <cell r="A10" t="str">
            <v>TOTAL</v>
          </cell>
          <cell r="D10"/>
        </row>
      </sheetData>
      <sheetData sheetId="6">
        <row r="1">
          <cell r="A1" t="str">
            <v>PN</v>
          </cell>
          <cell r="D1" t="str">
            <v>Qty</v>
          </cell>
        </row>
        <row r="2">
          <cell r="A2" t="str">
            <v>SR7B Upgrade for PAGG Layer</v>
          </cell>
          <cell r="D2">
            <v>18</v>
          </cell>
        </row>
        <row r="3">
          <cell r="A3" t="str">
            <v>SR7B Upgrade for PAGG Layer</v>
          </cell>
          <cell r="D3">
            <v>2</v>
          </cell>
        </row>
        <row r="4">
          <cell r="A4" t="str">
            <v>3HE12332BA</v>
          </cell>
          <cell r="D4">
            <v>40</v>
          </cell>
        </row>
        <row r="5">
          <cell r="A5" t="str">
            <v>3HE13739AA</v>
          </cell>
          <cell r="D5">
            <v>20</v>
          </cell>
        </row>
        <row r="6">
          <cell r="A6" t="str">
            <v>3HE13504AA</v>
          </cell>
          <cell r="D6">
            <v>20</v>
          </cell>
        </row>
        <row r="7">
          <cell r="A7" t="str">
            <v>3HE15151AA</v>
          </cell>
          <cell r="D7">
            <v>20</v>
          </cell>
        </row>
        <row r="8">
          <cell r="A8" t="str">
            <v>3HE15808AA</v>
          </cell>
          <cell r="D8">
            <v>20</v>
          </cell>
        </row>
        <row r="9">
          <cell r="A9" t="str">
            <v>7210 SAS-Sx Bundle</v>
          </cell>
          <cell r="D9">
            <v>20</v>
          </cell>
        </row>
        <row r="10">
          <cell r="A10" t="str">
            <v>3HE11471CA</v>
          </cell>
          <cell r="D10">
            <v>20</v>
          </cell>
        </row>
        <row r="11">
          <cell r="A11" t="str">
            <v>3HELB019AA</v>
          </cell>
          <cell r="D11">
            <v>20</v>
          </cell>
        </row>
        <row r="12">
          <cell r="A12" t="str">
            <v>3HE16016AA</v>
          </cell>
          <cell r="D12">
            <v>20</v>
          </cell>
        </row>
        <row r="13">
          <cell r="A13" t="str">
            <v>1AK23152AAAA</v>
          </cell>
          <cell r="D13">
            <v>40</v>
          </cell>
        </row>
        <row r="14">
          <cell r="A14" t="str">
            <v>1AK23148AAAA</v>
          </cell>
          <cell r="D14">
            <v>0</v>
          </cell>
        </row>
        <row r="15">
          <cell r="A15" t="str">
            <v>3HE00028CA</v>
          </cell>
          <cell r="D15">
            <v>200</v>
          </cell>
        </row>
        <row r="16">
          <cell r="A16" t="str">
            <v>3HE00867CA</v>
          </cell>
          <cell r="D16">
            <v>60</v>
          </cell>
        </row>
        <row r="17">
          <cell r="A17" t="str">
            <v>3HE00029CA</v>
          </cell>
          <cell r="D17">
            <v>40</v>
          </cell>
        </row>
        <row r="18">
          <cell r="A18" t="str">
            <v>3BK08959BA</v>
          </cell>
          <cell r="D18">
            <v>60</v>
          </cell>
        </row>
        <row r="19">
          <cell r="A19" t="str">
            <v>3BK08958BA</v>
          </cell>
          <cell r="D19">
            <v>60</v>
          </cell>
        </row>
        <row r="20">
          <cell r="A20" t="str">
            <v>1AB377380006</v>
          </cell>
          <cell r="D20">
            <v>5240</v>
          </cell>
        </row>
        <row r="21">
          <cell r="A21" t="str">
            <v xml:space="preserve">PAGG/SCSG HW Installation &amp; Commissioning </v>
          </cell>
          <cell r="D21">
            <v>20</v>
          </cell>
        </row>
        <row r="22">
          <cell r="A22" t="str">
            <v>SWAP PAGG/SCSG HOT SWAP Migration</v>
          </cell>
          <cell r="D22">
            <v>18</v>
          </cell>
        </row>
        <row r="23">
          <cell r="A23" t="str">
            <v>3HE400GLRtoZR</v>
          </cell>
          <cell r="D23">
            <v>18</v>
          </cell>
        </row>
        <row r="24">
          <cell r="A24" t="str">
            <v>SWAP PAGG/SCSG HOT SWAP Migration</v>
          </cell>
          <cell r="D24">
            <v>1</v>
          </cell>
        </row>
        <row r="25">
          <cell r="A25" t="str">
            <v>7210 SAS-Sx Bundle</v>
          </cell>
          <cell r="D25">
            <v>10</v>
          </cell>
        </row>
        <row r="26">
          <cell r="A26" t="str">
            <v>3HE16254NSP</v>
          </cell>
          <cell r="D26">
            <v>300</v>
          </cell>
        </row>
        <row r="27">
          <cell r="A27" t="str">
            <v>3HE11471CA</v>
          </cell>
          <cell r="D27">
            <v>10</v>
          </cell>
        </row>
        <row r="28">
          <cell r="A28" t="str">
            <v>3HE10550AA</v>
          </cell>
          <cell r="D28">
            <v>0</v>
          </cell>
        </row>
        <row r="29">
          <cell r="A29" t="str">
            <v>3HE11239AA</v>
          </cell>
          <cell r="D29">
            <v>0</v>
          </cell>
        </row>
        <row r="30">
          <cell r="A30" t="str">
            <v>3HE16558AA</v>
          </cell>
          <cell r="D30">
            <v>0</v>
          </cell>
        </row>
        <row r="31">
          <cell r="A31" t="str">
            <v>TOTAL</v>
          </cell>
          <cell r="D31"/>
        </row>
      </sheetData>
      <sheetData sheetId="7">
        <row r="1">
          <cell r="A1" t="str">
            <v>PN</v>
          </cell>
          <cell r="D1" t="str">
            <v>Qty</v>
          </cell>
        </row>
        <row r="2">
          <cell r="A2" t="str">
            <v>SCSG_High Bundle</v>
          </cell>
          <cell r="D2">
            <v>44</v>
          </cell>
        </row>
        <row r="3">
          <cell r="A3" t="str">
            <v>3HE15662BA</v>
          </cell>
          <cell r="D3">
            <v>44</v>
          </cell>
        </row>
        <row r="4">
          <cell r="A4" t="str">
            <v>3HELB019AA</v>
          </cell>
          <cell r="D4">
            <v>44</v>
          </cell>
        </row>
        <row r="5">
          <cell r="A5" t="str">
            <v>3HELB021AA</v>
          </cell>
          <cell r="D5">
            <v>44</v>
          </cell>
        </row>
        <row r="6">
          <cell r="A6" t="str">
            <v>1AK23152AAAA</v>
          </cell>
          <cell r="D6">
            <v>9</v>
          </cell>
        </row>
        <row r="7">
          <cell r="A7" t="str">
            <v>1AK23148AAAA</v>
          </cell>
          <cell r="D7">
            <v>0</v>
          </cell>
        </row>
        <row r="8">
          <cell r="A8" t="str">
            <v>3HE00028CA</v>
          </cell>
          <cell r="D8">
            <v>616</v>
          </cell>
        </row>
        <row r="9">
          <cell r="A9" t="str">
            <v>3HE00867CA</v>
          </cell>
          <cell r="D9">
            <v>88</v>
          </cell>
        </row>
        <row r="10">
          <cell r="A10" t="str">
            <v>3HE00029CA</v>
          </cell>
          <cell r="D10">
            <v>44</v>
          </cell>
        </row>
        <row r="11">
          <cell r="A11" t="str">
            <v>3BK08959BA</v>
          </cell>
          <cell r="D11">
            <v>88</v>
          </cell>
        </row>
        <row r="12">
          <cell r="A12" t="str">
            <v>3BK08958BA</v>
          </cell>
          <cell r="D12">
            <v>88</v>
          </cell>
        </row>
        <row r="13">
          <cell r="A13" t="str">
            <v>1AB377380006</v>
          </cell>
          <cell r="D13">
            <v>4096</v>
          </cell>
        </row>
        <row r="14">
          <cell r="A14" t="str">
            <v>3HE16016AA</v>
          </cell>
          <cell r="D14">
            <v>44</v>
          </cell>
        </row>
        <row r="15">
          <cell r="A15" t="str">
            <v xml:space="preserve">SWAP PAGG/SCSG HW Installation &amp; Commissioning </v>
          </cell>
          <cell r="D15">
            <v>44</v>
          </cell>
        </row>
        <row r="16">
          <cell r="A16" t="str">
            <v>SWAP PAGG/SCSG HOT SWAP Migration</v>
          </cell>
          <cell r="D16">
            <v>22</v>
          </cell>
        </row>
        <row r="17">
          <cell r="A17" t="str">
            <v>3HE10550AA</v>
          </cell>
          <cell r="D17">
            <v>0</v>
          </cell>
        </row>
        <row r="18">
          <cell r="A18" t="str">
            <v>3HE11239AA</v>
          </cell>
          <cell r="D18">
            <v>0</v>
          </cell>
        </row>
        <row r="19">
          <cell r="A19" t="str">
            <v>3HE400GLRtoZR</v>
          </cell>
          <cell r="D19">
            <v>15</v>
          </cell>
        </row>
        <row r="20">
          <cell r="A20" t="str">
            <v>3HE400GLRtoZR+</v>
          </cell>
          <cell r="D20">
            <v>0</v>
          </cell>
        </row>
        <row r="21">
          <cell r="A21" t="str">
            <v>TOTAL</v>
          </cell>
          <cell r="D21"/>
        </row>
      </sheetData>
      <sheetData sheetId="8">
        <row r="1">
          <cell r="A1" t="str">
            <v>PN</v>
          </cell>
          <cell r="D1" t="str">
            <v>Qty</v>
          </cell>
        </row>
        <row r="2">
          <cell r="A2" t="str">
            <v>IXR-e-Big Bundle</v>
          </cell>
          <cell r="D2">
            <v>200</v>
          </cell>
        </row>
        <row r="3">
          <cell r="A3" t="str">
            <v>1AK23152AAAA</v>
          </cell>
          <cell r="D3">
            <v>200</v>
          </cell>
        </row>
        <row r="4">
          <cell r="A4" t="str">
            <v>1AK23148AAAA</v>
          </cell>
          <cell r="D4">
            <v>400</v>
          </cell>
        </row>
        <row r="5">
          <cell r="A5" t="str">
            <v>3BK08959BA</v>
          </cell>
          <cell r="D5">
            <v>400</v>
          </cell>
        </row>
        <row r="6">
          <cell r="A6" t="str">
            <v>3BK08958BA</v>
          </cell>
          <cell r="D6">
            <v>400</v>
          </cell>
        </row>
        <row r="7">
          <cell r="A7" t="str">
            <v>1AB377380006</v>
          </cell>
          <cell r="D7">
            <v>7600</v>
          </cell>
        </row>
        <row r="8">
          <cell r="A8" t="str">
            <v>3HE16254NSP</v>
          </cell>
          <cell r="D8">
            <v>5800</v>
          </cell>
        </row>
        <row r="9">
          <cell r="A9" t="str">
            <v>3HE16018AA</v>
          </cell>
          <cell r="D9">
            <v>200</v>
          </cell>
        </row>
        <row r="10">
          <cell r="A10" t="str">
            <v>3HE100GLRtoER</v>
          </cell>
          <cell r="D10">
            <v>82</v>
          </cell>
        </row>
        <row r="11">
          <cell r="A11" t="str">
            <v>3HE100GLRtoZR</v>
          </cell>
          <cell r="D11">
            <v>14</v>
          </cell>
        </row>
        <row r="12">
          <cell r="A12" t="str">
            <v>CSG_v1 HW Installation &amp; Commissioning</v>
          </cell>
          <cell r="D12">
            <v>200</v>
          </cell>
        </row>
        <row r="13">
          <cell r="A13" t="str">
            <v>CSG_v1 Migration</v>
          </cell>
          <cell r="D13">
            <v>200</v>
          </cell>
        </row>
        <row r="14">
          <cell r="A14" t="str">
            <v>TOTAL</v>
          </cell>
          <cell r="D14"/>
        </row>
      </sheetData>
      <sheetData sheetId="9">
        <row r="1">
          <cell r="A1" t="str">
            <v>PN</v>
          </cell>
          <cell r="D1" t="str">
            <v>Qty</v>
          </cell>
        </row>
        <row r="2">
          <cell r="A2" t="str">
            <v>ESA Bundle</v>
          </cell>
          <cell r="D2">
            <v>18</v>
          </cell>
        </row>
        <row r="3">
          <cell r="A3" t="str">
            <v>3HE16254NSP</v>
          </cell>
          <cell r="D3">
            <v>1062</v>
          </cell>
        </row>
        <row r="4">
          <cell r="A4" t="str">
            <v>3HE16016AA</v>
          </cell>
          <cell r="D4">
            <v>18</v>
          </cell>
        </row>
        <row r="5">
          <cell r="A5" t="str">
            <v>1AB377380006</v>
          </cell>
          <cell r="D5">
            <v>72</v>
          </cell>
        </row>
        <row r="6">
          <cell r="A6" t="str">
            <v>Card Expansion Installation&amp;Integration</v>
          </cell>
          <cell r="D6">
            <v>18</v>
          </cell>
        </row>
        <row r="7">
          <cell r="A7" t="str">
            <v>TOTAL</v>
          </cell>
          <cell r="D7"/>
        </row>
      </sheetData>
      <sheetData sheetId="10"/>
      <sheetData sheetId="11"/>
      <sheetData sheetId="12">
        <row r="1">
          <cell r="A1" t="str">
            <v>PN</v>
          </cell>
          <cell r="D1" t="str">
            <v>Qty</v>
          </cell>
        </row>
        <row r="2">
          <cell r="A2" t="str">
            <v>1AD147550002</v>
          </cell>
          <cell r="D2">
            <v>22</v>
          </cell>
        </row>
        <row r="3">
          <cell r="A3" t="str">
            <v>Nokia-Rack-19U</v>
          </cell>
          <cell r="D3">
            <v>70</v>
          </cell>
        </row>
        <row r="4">
          <cell r="A4" t="str">
            <v>Minor Upgrade of existing power system. ( Busbar - Cabling, etc )</v>
          </cell>
          <cell r="D4">
            <v>22</v>
          </cell>
        </row>
        <row r="5">
          <cell r="A5" t="str">
            <v>TOTAL</v>
          </cell>
          <cell r="D5"/>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DD617-0B9B-4AE8-87E9-EB184267C73E}">
  <dimension ref="A1:D173"/>
  <sheetViews>
    <sheetView topLeftCell="A160" zoomScale="130" zoomScaleNormal="130" workbookViewId="0">
      <selection activeCell="F173" sqref="F173"/>
    </sheetView>
  </sheetViews>
  <sheetFormatPr defaultRowHeight="15"/>
  <cols>
    <col min="1" max="1" width="31.5703125" bestFit="1" customWidth="1"/>
  </cols>
  <sheetData>
    <row r="1" spans="1:4">
      <c r="A1" s="99" t="s">
        <v>0</v>
      </c>
      <c r="B1" s="99" t="s">
        <v>1</v>
      </c>
      <c r="C1" s="99" t="s">
        <v>2</v>
      </c>
      <c r="D1" s="99" t="s">
        <v>3</v>
      </c>
    </row>
    <row r="2" spans="1:4">
      <c r="A2" t="s">
        <v>4</v>
      </c>
      <c r="B2">
        <v>4</v>
      </c>
      <c r="C2">
        <v>16</v>
      </c>
      <c r="D2">
        <v>1</v>
      </c>
    </row>
    <row r="3" spans="1:4">
      <c r="A3" t="s">
        <v>5</v>
      </c>
      <c r="B3">
        <v>14</v>
      </c>
      <c r="C3">
        <v>18</v>
      </c>
      <c r="D3">
        <v>1</v>
      </c>
    </row>
    <row r="4" spans="1:4">
      <c r="A4" t="s">
        <v>6</v>
      </c>
      <c r="B4">
        <v>3</v>
      </c>
      <c r="C4">
        <v>11</v>
      </c>
      <c r="D4">
        <v>1</v>
      </c>
    </row>
    <row r="5" spans="1:4">
      <c r="A5" t="s">
        <v>7</v>
      </c>
      <c r="B5">
        <v>20</v>
      </c>
      <c r="C5">
        <v>19</v>
      </c>
      <c r="D5">
        <v>1</v>
      </c>
    </row>
    <row r="6" spans="1:4">
      <c r="A6" t="s">
        <v>8</v>
      </c>
      <c r="B6">
        <v>17</v>
      </c>
      <c r="C6">
        <v>16</v>
      </c>
      <c r="D6">
        <v>1</v>
      </c>
    </row>
    <row r="7" spans="1:4">
      <c r="A7" t="s">
        <v>9</v>
      </c>
      <c r="B7">
        <v>5</v>
      </c>
      <c r="C7">
        <v>15</v>
      </c>
      <c r="D7">
        <v>1</v>
      </c>
    </row>
    <row r="8" spans="1:4">
      <c r="A8" t="s">
        <v>10</v>
      </c>
      <c r="B8">
        <v>8</v>
      </c>
      <c r="C8">
        <v>31</v>
      </c>
      <c r="D8">
        <v>2</v>
      </c>
    </row>
    <row r="9" spans="1:4">
      <c r="A9" t="s">
        <v>11</v>
      </c>
      <c r="B9">
        <v>16</v>
      </c>
      <c r="C9">
        <v>30</v>
      </c>
      <c r="D9">
        <v>1</v>
      </c>
    </row>
    <row r="10" spans="1:4">
      <c r="A10" t="s">
        <v>12</v>
      </c>
      <c r="B10">
        <v>15</v>
      </c>
      <c r="C10">
        <v>15</v>
      </c>
      <c r="D10">
        <v>1</v>
      </c>
    </row>
    <row r="11" spans="1:4">
      <c r="A11" t="s">
        <v>13</v>
      </c>
      <c r="B11">
        <v>5</v>
      </c>
      <c r="C11">
        <v>10</v>
      </c>
      <c r="D11">
        <v>2</v>
      </c>
    </row>
    <row r="12" spans="1:4">
      <c r="A12" t="s">
        <v>14</v>
      </c>
      <c r="B12">
        <v>14</v>
      </c>
      <c r="C12">
        <v>19</v>
      </c>
      <c r="D12">
        <v>4</v>
      </c>
    </row>
    <row r="13" spans="1:4">
      <c r="A13" t="s">
        <v>15</v>
      </c>
      <c r="B13">
        <v>4</v>
      </c>
      <c r="C13">
        <v>14</v>
      </c>
      <c r="D13">
        <v>1</v>
      </c>
    </row>
    <row r="14" spans="1:4">
      <c r="A14" t="s">
        <v>16</v>
      </c>
      <c r="B14">
        <v>11</v>
      </c>
      <c r="C14">
        <v>17</v>
      </c>
      <c r="D14">
        <v>1</v>
      </c>
    </row>
    <row r="15" spans="1:4">
      <c r="A15" t="s">
        <v>17</v>
      </c>
      <c r="B15">
        <v>15</v>
      </c>
      <c r="C15">
        <v>33</v>
      </c>
      <c r="D15">
        <v>1</v>
      </c>
    </row>
    <row r="16" spans="1:4">
      <c r="A16" t="s">
        <v>18</v>
      </c>
      <c r="B16">
        <v>4</v>
      </c>
      <c r="C16">
        <v>15</v>
      </c>
      <c r="D16">
        <v>1</v>
      </c>
    </row>
    <row r="17" spans="1:4">
      <c r="A17" t="s">
        <v>19</v>
      </c>
      <c r="B17">
        <v>6</v>
      </c>
      <c r="C17">
        <v>8</v>
      </c>
      <c r="D17">
        <v>1</v>
      </c>
    </row>
    <row r="18" spans="1:4">
      <c r="A18" t="s">
        <v>20</v>
      </c>
      <c r="B18">
        <v>9</v>
      </c>
      <c r="C18">
        <v>18</v>
      </c>
      <c r="D18">
        <v>1</v>
      </c>
    </row>
    <row r="19" spans="1:4">
      <c r="A19" t="s">
        <v>21</v>
      </c>
      <c r="B19">
        <v>6</v>
      </c>
      <c r="C19">
        <v>11</v>
      </c>
      <c r="D19">
        <v>1</v>
      </c>
    </row>
    <row r="20" spans="1:4">
      <c r="A20" t="s">
        <v>22</v>
      </c>
      <c r="B20">
        <v>3</v>
      </c>
      <c r="C20">
        <v>13</v>
      </c>
    </row>
    <row r="21" spans="1:4">
      <c r="A21" t="s">
        <v>23</v>
      </c>
      <c r="B21">
        <v>3</v>
      </c>
      <c r="C21">
        <v>17</v>
      </c>
      <c r="D21">
        <v>1</v>
      </c>
    </row>
    <row r="22" spans="1:4">
      <c r="A22" t="s">
        <v>24</v>
      </c>
      <c r="B22">
        <v>13</v>
      </c>
      <c r="C22">
        <v>45</v>
      </c>
      <c r="D22">
        <v>1</v>
      </c>
    </row>
    <row r="23" spans="1:4">
      <c r="A23" t="s">
        <v>25</v>
      </c>
      <c r="B23">
        <v>5</v>
      </c>
      <c r="C23">
        <v>9</v>
      </c>
    </row>
    <row r="24" spans="1:4">
      <c r="A24" t="s">
        <v>26</v>
      </c>
      <c r="B24">
        <v>8</v>
      </c>
      <c r="C24">
        <v>22</v>
      </c>
      <c r="D24">
        <v>1</v>
      </c>
    </row>
    <row r="25" spans="1:4">
      <c r="A25" t="s">
        <v>27</v>
      </c>
      <c r="B25">
        <v>5</v>
      </c>
      <c r="C25">
        <v>20</v>
      </c>
    </row>
    <row r="26" spans="1:4">
      <c r="A26" t="s">
        <v>28</v>
      </c>
      <c r="B26">
        <v>4</v>
      </c>
      <c r="C26">
        <v>5</v>
      </c>
    </row>
    <row r="27" spans="1:4">
      <c r="A27" t="s">
        <v>29</v>
      </c>
      <c r="B27">
        <v>13</v>
      </c>
      <c r="C27">
        <v>28</v>
      </c>
      <c r="D27">
        <v>1</v>
      </c>
    </row>
    <row r="28" spans="1:4">
      <c r="A28" t="s">
        <v>30</v>
      </c>
      <c r="B28">
        <v>2</v>
      </c>
      <c r="C28">
        <v>8</v>
      </c>
      <c r="D28">
        <v>1</v>
      </c>
    </row>
    <row r="29" spans="1:4">
      <c r="A29" t="s">
        <v>31</v>
      </c>
      <c r="B29">
        <v>4</v>
      </c>
      <c r="C29">
        <v>12</v>
      </c>
      <c r="D29">
        <v>1</v>
      </c>
    </row>
    <row r="30" spans="1:4">
      <c r="A30" t="s">
        <v>32</v>
      </c>
      <c r="B30">
        <v>18</v>
      </c>
      <c r="C30">
        <v>19</v>
      </c>
      <c r="D30">
        <v>1</v>
      </c>
    </row>
    <row r="31" spans="1:4">
      <c r="A31" t="s">
        <v>33</v>
      </c>
      <c r="B31">
        <v>11</v>
      </c>
      <c r="C31">
        <v>13</v>
      </c>
      <c r="D31">
        <v>2</v>
      </c>
    </row>
    <row r="32" spans="1:4">
      <c r="A32" t="s">
        <v>34</v>
      </c>
      <c r="B32">
        <v>9</v>
      </c>
      <c r="C32">
        <v>10</v>
      </c>
      <c r="D32">
        <v>1</v>
      </c>
    </row>
    <row r="33" spans="1:4">
      <c r="A33" t="s">
        <v>35</v>
      </c>
      <c r="B33">
        <v>3</v>
      </c>
      <c r="C33">
        <v>4</v>
      </c>
    </row>
    <row r="34" spans="1:4">
      <c r="A34" t="s">
        <v>36</v>
      </c>
      <c r="B34">
        <v>3</v>
      </c>
      <c r="C34">
        <v>13</v>
      </c>
      <c r="D34">
        <v>1</v>
      </c>
    </row>
    <row r="35" spans="1:4">
      <c r="A35" t="s">
        <v>37</v>
      </c>
      <c r="B35">
        <v>8</v>
      </c>
      <c r="C35">
        <v>27</v>
      </c>
      <c r="D35">
        <v>2</v>
      </c>
    </row>
    <row r="36" spans="1:4">
      <c r="A36" t="s">
        <v>38</v>
      </c>
      <c r="B36">
        <v>6</v>
      </c>
      <c r="C36">
        <v>9</v>
      </c>
      <c r="D36">
        <v>1</v>
      </c>
    </row>
    <row r="37" spans="1:4">
      <c r="A37" t="s">
        <v>39</v>
      </c>
      <c r="B37">
        <v>13</v>
      </c>
      <c r="C37">
        <v>10</v>
      </c>
      <c r="D37">
        <v>1</v>
      </c>
    </row>
    <row r="38" spans="1:4">
      <c r="A38" t="s">
        <v>40</v>
      </c>
      <c r="B38">
        <v>2</v>
      </c>
      <c r="C38">
        <v>11</v>
      </c>
    </row>
    <row r="39" spans="1:4">
      <c r="A39" t="s">
        <v>41</v>
      </c>
      <c r="B39">
        <v>11</v>
      </c>
      <c r="C39">
        <v>21</v>
      </c>
      <c r="D39">
        <v>1</v>
      </c>
    </row>
    <row r="40" spans="1:4">
      <c r="A40" t="s">
        <v>42</v>
      </c>
      <c r="B40">
        <v>6</v>
      </c>
      <c r="C40">
        <v>6</v>
      </c>
      <c r="D40">
        <v>1</v>
      </c>
    </row>
    <row r="41" spans="1:4">
      <c r="A41" t="s">
        <v>43</v>
      </c>
      <c r="B41">
        <v>11</v>
      </c>
      <c r="C41">
        <v>12</v>
      </c>
      <c r="D41">
        <v>1</v>
      </c>
    </row>
    <row r="42" spans="1:4">
      <c r="A42" t="s">
        <v>44</v>
      </c>
      <c r="B42">
        <v>9</v>
      </c>
      <c r="C42">
        <v>15</v>
      </c>
      <c r="D42">
        <v>1</v>
      </c>
    </row>
    <row r="43" spans="1:4">
      <c r="A43" t="s">
        <v>45</v>
      </c>
      <c r="B43">
        <v>2</v>
      </c>
      <c r="C43">
        <v>8</v>
      </c>
    </row>
    <row r="44" spans="1:4">
      <c r="A44" t="s">
        <v>46</v>
      </c>
      <c r="B44">
        <v>2</v>
      </c>
      <c r="C44">
        <v>5</v>
      </c>
    </row>
    <row r="45" spans="1:4">
      <c r="A45" t="s">
        <v>47</v>
      </c>
      <c r="B45">
        <v>5</v>
      </c>
      <c r="C45">
        <v>9</v>
      </c>
      <c r="D45">
        <v>1</v>
      </c>
    </row>
    <row r="46" spans="1:4">
      <c r="A46" t="s">
        <v>48</v>
      </c>
      <c r="B46">
        <v>3</v>
      </c>
      <c r="C46">
        <v>19</v>
      </c>
      <c r="D46">
        <v>1</v>
      </c>
    </row>
    <row r="47" spans="1:4">
      <c r="A47" t="s">
        <v>49</v>
      </c>
      <c r="B47">
        <v>3</v>
      </c>
      <c r="C47">
        <v>17</v>
      </c>
    </row>
    <row r="48" spans="1:4">
      <c r="A48" t="s">
        <v>50</v>
      </c>
      <c r="B48">
        <v>2</v>
      </c>
      <c r="C48">
        <v>8</v>
      </c>
      <c r="D48">
        <v>1</v>
      </c>
    </row>
    <row r="49" spans="1:4">
      <c r="A49" t="s">
        <v>51</v>
      </c>
      <c r="B49">
        <v>9</v>
      </c>
      <c r="C49">
        <v>9</v>
      </c>
      <c r="D49">
        <v>1</v>
      </c>
    </row>
    <row r="50" spans="1:4">
      <c r="A50" t="s">
        <v>52</v>
      </c>
      <c r="B50">
        <v>12</v>
      </c>
      <c r="C50">
        <v>7</v>
      </c>
      <c r="D50">
        <v>1</v>
      </c>
    </row>
    <row r="51" spans="1:4">
      <c r="A51" t="s">
        <v>53</v>
      </c>
      <c r="B51">
        <v>18</v>
      </c>
      <c r="C51">
        <v>19</v>
      </c>
      <c r="D51">
        <v>1</v>
      </c>
    </row>
    <row r="52" spans="1:4">
      <c r="A52" t="s">
        <v>54</v>
      </c>
      <c r="B52">
        <v>2</v>
      </c>
      <c r="C52">
        <v>3</v>
      </c>
    </row>
    <row r="53" spans="1:4">
      <c r="A53" t="s">
        <v>55</v>
      </c>
      <c r="B53">
        <v>4</v>
      </c>
      <c r="C53">
        <v>15</v>
      </c>
      <c r="D53">
        <v>2</v>
      </c>
    </row>
    <row r="54" spans="1:4">
      <c r="A54" t="s">
        <v>56</v>
      </c>
      <c r="B54">
        <v>3</v>
      </c>
      <c r="C54">
        <v>10</v>
      </c>
      <c r="D54">
        <v>2</v>
      </c>
    </row>
    <row r="55" spans="1:4">
      <c r="A55" t="s">
        <v>57</v>
      </c>
      <c r="B55">
        <v>9</v>
      </c>
      <c r="C55">
        <v>17</v>
      </c>
      <c r="D55">
        <v>1</v>
      </c>
    </row>
    <row r="56" spans="1:4">
      <c r="A56" t="s">
        <v>58</v>
      </c>
      <c r="B56">
        <v>19</v>
      </c>
      <c r="C56">
        <v>22</v>
      </c>
      <c r="D56">
        <v>1</v>
      </c>
    </row>
    <row r="57" spans="1:4">
      <c r="A57" t="s">
        <v>59</v>
      </c>
      <c r="B57">
        <v>9</v>
      </c>
      <c r="C57">
        <v>10</v>
      </c>
      <c r="D57">
        <v>1</v>
      </c>
    </row>
    <row r="58" spans="1:4">
      <c r="A58" t="s">
        <v>60</v>
      </c>
      <c r="B58">
        <v>15</v>
      </c>
      <c r="C58">
        <v>30</v>
      </c>
      <c r="D58">
        <v>2</v>
      </c>
    </row>
    <row r="59" spans="1:4">
      <c r="A59" t="s">
        <v>61</v>
      </c>
      <c r="B59">
        <v>11</v>
      </c>
      <c r="C59">
        <v>10</v>
      </c>
      <c r="D59">
        <v>1</v>
      </c>
    </row>
    <row r="60" spans="1:4">
      <c r="A60" t="s">
        <v>62</v>
      </c>
      <c r="B60">
        <v>6</v>
      </c>
      <c r="C60">
        <v>17</v>
      </c>
      <c r="D60">
        <v>3</v>
      </c>
    </row>
    <row r="61" spans="1:4">
      <c r="A61" t="s">
        <v>63</v>
      </c>
      <c r="B61">
        <v>8</v>
      </c>
      <c r="C61">
        <v>8</v>
      </c>
      <c r="D61">
        <v>1</v>
      </c>
    </row>
    <row r="62" spans="1:4">
      <c r="A62" t="s">
        <v>64</v>
      </c>
      <c r="B62">
        <v>15</v>
      </c>
      <c r="C62">
        <v>27</v>
      </c>
      <c r="D62">
        <v>1</v>
      </c>
    </row>
    <row r="63" spans="1:4">
      <c r="A63" t="s">
        <v>65</v>
      </c>
      <c r="B63">
        <v>8</v>
      </c>
      <c r="C63">
        <v>10</v>
      </c>
    </row>
    <row r="64" spans="1:4">
      <c r="A64" t="s">
        <v>66</v>
      </c>
      <c r="B64">
        <v>6</v>
      </c>
      <c r="C64">
        <v>6</v>
      </c>
      <c r="D64">
        <v>1</v>
      </c>
    </row>
    <row r="65" spans="1:4">
      <c r="A65" t="s">
        <v>67</v>
      </c>
      <c r="B65">
        <v>5</v>
      </c>
      <c r="C65">
        <v>6</v>
      </c>
      <c r="D65">
        <v>1</v>
      </c>
    </row>
    <row r="66" spans="1:4">
      <c r="A66" t="s">
        <v>68</v>
      </c>
      <c r="B66">
        <v>3</v>
      </c>
      <c r="C66">
        <v>14</v>
      </c>
      <c r="D66">
        <v>2</v>
      </c>
    </row>
    <row r="67" spans="1:4">
      <c r="A67" t="s">
        <v>69</v>
      </c>
      <c r="B67">
        <v>17</v>
      </c>
      <c r="C67">
        <v>39</v>
      </c>
      <c r="D67">
        <v>1</v>
      </c>
    </row>
    <row r="68" spans="1:4">
      <c r="A68" t="s">
        <v>70</v>
      </c>
      <c r="B68">
        <v>29</v>
      </c>
      <c r="C68">
        <v>26</v>
      </c>
      <c r="D68">
        <v>1</v>
      </c>
    </row>
    <row r="69" spans="1:4">
      <c r="A69" t="s">
        <v>71</v>
      </c>
      <c r="B69">
        <v>13</v>
      </c>
      <c r="C69">
        <v>10</v>
      </c>
      <c r="D69">
        <v>1</v>
      </c>
    </row>
    <row r="70" spans="1:4">
      <c r="A70" t="s">
        <v>72</v>
      </c>
      <c r="B70">
        <v>18</v>
      </c>
      <c r="C70">
        <v>23</v>
      </c>
      <c r="D70">
        <v>1</v>
      </c>
    </row>
    <row r="71" spans="1:4">
      <c r="A71" t="s">
        <v>73</v>
      </c>
      <c r="B71">
        <v>4</v>
      </c>
      <c r="C71">
        <v>20</v>
      </c>
      <c r="D71">
        <v>1</v>
      </c>
    </row>
    <row r="72" spans="1:4">
      <c r="A72" t="s">
        <v>74</v>
      </c>
      <c r="B72">
        <v>13</v>
      </c>
      <c r="C72">
        <v>20</v>
      </c>
      <c r="D72">
        <v>1</v>
      </c>
    </row>
    <row r="73" spans="1:4">
      <c r="A73" t="s">
        <v>75</v>
      </c>
      <c r="B73">
        <v>13</v>
      </c>
      <c r="C73">
        <v>34</v>
      </c>
      <c r="D73">
        <v>4</v>
      </c>
    </row>
    <row r="74" spans="1:4">
      <c r="A74" t="s">
        <v>76</v>
      </c>
      <c r="B74">
        <v>6</v>
      </c>
      <c r="C74">
        <v>9</v>
      </c>
      <c r="D74">
        <v>1</v>
      </c>
    </row>
    <row r="75" spans="1:4">
      <c r="A75" t="s">
        <v>77</v>
      </c>
      <c r="B75">
        <v>5</v>
      </c>
      <c r="C75">
        <v>17</v>
      </c>
      <c r="D75">
        <v>1</v>
      </c>
    </row>
    <row r="76" spans="1:4">
      <c r="A76" t="s">
        <v>78</v>
      </c>
      <c r="B76">
        <v>9</v>
      </c>
      <c r="C76">
        <v>13</v>
      </c>
      <c r="D76">
        <v>1</v>
      </c>
    </row>
    <row r="77" spans="1:4">
      <c r="A77" t="s">
        <v>79</v>
      </c>
      <c r="B77">
        <v>8</v>
      </c>
      <c r="C77">
        <v>13</v>
      </c>
      <c r="D77">
        <v>1</v>
      </c>
    </row>
    <row r="78" spans="1:4">
      <c r="A78" t="s">
        <v>80</v>
      </c>
      <c r="B78">
        <v>20</v>
      </c>
      <c r="C78">
        <v>17</v>
      </c>
      <c r="D78">
        <v>1</v>
      </c>
    </row>
    <row r="79" spans="1:4">
      <c r="A79" t="s">
        <v>81</v>
      </c>
      <c r="B79">
        <v>17</v>
      </c>
      <c r="C79">
        <v>36</v>
      </c>
      <c r="D79">
        <v>1</v>
      </c>
    </row>
    <row r="80" spans="1:4">
      <c r="A80" t="s">
        <v>82</v>
      </c>
      <c r="B80">
        <v>9</v>
      </c>
      <c r="C80">
        <v>24</v>
      </c>
      <c r="D80">
        <v>1</v>
      </c>
    </row>
    <row r="81" spans="1:4">
      <c r="A81" t="s">
        <v>83</v>
      </c>
      <c r="C81">
        <v>0</v>
      </c>
      <c r="D81">
        <v>1</v>
      </c>
    </row>
    <row r="82" spans="1:4">
      <c r="A82" t="s">
        <v>84</v>
      </c>
      <c r="B82">
        <v>11</v>
      </c>
      <c r="C82">
        <v>16</v>
      </c>
      <c r="D82">
        <v>1</v>
      </c>
    </row>
    <row r="83" spans="1:4">
      <c r="A83" t="s">
        <v>85</v>
      </c>
      <c r="B83">
        <v>6</v>
      </c>
      <c r="C83">
        <v>11</v>
      </c>
      <c r="D83">
        <v>1</v>
      </c>
    </row>
    <row r="84" spans="1:4">
      <c r="A84" t="s">
        <v>86</v>
      </c>
      <c r="B84">
        <v>4</v>
      </c>
      <c r="C84">
        <v>13</v>
      </c>
    </row>
    <row r="85" spans="1:4">
      <c r="A85" t="s">
        <v>87</v>
      </c>
      <c r="B85">
        <v>16</v>
      </c>
      <c r="C85">
        <v>48</v>
      </c>
    </row>
    <row r="86" spans="1:4">
      <c r="A86" t="s">
        <v>88</v>
      </c>
      <c r="B86">
        <v>8</v>
      </c>
      <c r="C86">
        <v>18</v>
      </c>
    </row>
    <row r="87" spans="1:4">
      <c r="A87" t="s">
        <v>89</v>
      </c>
      <c r="B87">
        <v>13</v>
      </c>
      <c r="C87">
        <v>48</v>
      </c>
    </row>
    <row r="88" spans="1:4">
      <c r="A88" t="s">
        <v>90</v>
      </c>
      <c r="B88">
        <v>6</v>
      </c>
      <c r="C88">
        <v>31</v>
      </c>
      <c r="D88">
        <v>3</v>
      </c>
    </row>
    <row r="89" spans="1:4">
      <c r="A89" t="s">
        <v>91</v>
      </c>
      <c r="B89">
        <v>4</v>
      </c>
      <c r="C89">
        <v>35</v>
      </c>
    </row>
    <row r="90" spans="1:4">
      <c r="A90" t="s">
        <v>92</v>
      </c>
      <c r="B90">
        <v>5</v>
      </c>
      <c r="C90">
        <v>16</v>
      </c>
    </row>
    <row r="91" spans="1:4">
      <c r="A91" t="s">
        <v>93</v>
      </c>
      <c r="B91">
        <v>6</v>
      </c>
      <c r="C91">
        <v>16</v>
      </c>
      <c r="D91">
        <v>1</v>
      </c>
    </row>
    <row r="92" spans="1:4">
      <c r="A92" t="s">
        <v>94</v>
      </c>
      <c r="B92">
        <v>12</v>
      </c>
      <c r="C92">
        <v>20</v>
      </c>
      <c r="D92">
        <v>3</v>
      </c>
    </row>
    <row r="93" spans="1:4">
      <c r="A93" t="s">
        <v>95</v>
      </c>
      <c r="B93">
        <v>3</v>
      </c>
      <c r="C93">
        <v>20</v>
      </c>
    </row>
    <row r="94" spans="1:4">
      <c r="A94" t="s">
        <v>96</v>
      </c>
      <c r="B94">
        <v>2</v>
      </c>
      <c r="C94">
        <v>19</v>
      </c>
      <c r="D94">
        <v>1</v>
      </c>
    </row>
    <row r="95" spans="1:4">
      <c r="A95" t="s">
        <v>97</v>
      </c>
      <c r="B95">
        <v>5</v>
      </c>
      <c r="C95">
        <v>6</v>
      </c>
      <c r="D95">
        <v>1</v>
      </c>
    </row>
    <row r="96" spans="1:4">
      <c r="A96" t="s">
        <v>98</v>
      </c>
      <c r="B96">
        <v>3</v>
      </c>
      <c r="C96">
        <v>5</v>
      </c>
    </row>
    <row r="97" spans="1:4">
      <c r="A97" t="s">
        <v>99</v>
      </c>
      <c r="B97">
        <v>11</v>
      </c>
      <c r="C97">
        <v>19</v>
      </c>
      <c r="D97">
        <v>2</v>
      </c>
    </row>
    <row r="98" spans="1:4">
      <c r="A98" t="s">
        <v>100</v>
      </c>
      <c r="B98">
        <v>6</v>
      </c>
      <c r="C98">
        <v>14</v>
      </c>
      <c r="D98">
        <v>1</v>
      </c>
    </row>
    <row r="99" spans="1:4">
      <c r="A99" t="s">
        <v>101</v>
      </c>
      <c r="B99">
        <v>3</v>
      </c>
      <c r="C99">
        <v>10</v>
      </c>
      <c r="D99">
        <v>1</v>
      </c>
    </row>
    <row r="100" spans="1:4">
      <c r="A100" t="s">
        <v>102</v>
      </c>
      <c r="B100">
        <v>12</v>
      </c>
      <c r="C100">
        <v>49</v>
      </c>
      <c r="D100">
        <v>1</v>
      </c>
    </row>
    <row r="101" spans="1:4">
      <c r="A101" t="s">
        <v>103</v>
      </c>
      <c r="B101">
        <v>5</v>
      </c>
      <c r="C101">
        <v>17</v>
      </c>
      <c r="D101">
        <v>1</v>
      </c>
    </row>
    <row r="102" spans="1:4">
      <c r="A102" t="s">
        <v>104</v>
      </c>
      <c r="B102">
        <v>3</v>
      </c>
      <c r="C102">
        <v>9</v>
      </c>
    </row>
    <row r="103" spans="1:4">
      <c r="A103" t="s">
        <v>105</v>
      </c>
      <c r="B103">
        <v>12</v>
      </c>
      <c r="C103">
        <v>23</v>
      </c>
      <c r="D103">
        <v>1</v>
      </c>
    </row>
    <row r="104" spans="1:4">
      <c r="A104" t="s">
        <v>106</v>
      </c>
      <c r="B104">
        <v>5</v>
      </c>
      <c r="C104">
        <v>11</v>
      </c>
    </row>
    <row r="105" spans="1:4">
      <c r="A105" t="s">
        <v>107</v>
      </c>
      <c r="B105">
        <v>8</v>
      </c>
      <c r="C105">
        <v>7</v>
      </c>
      <c r="D105">
        <v>1</v>
      </c>
    </row>
    <row r="106" spans="1:4">
      <c r="A106" t="s">
        <v>108</v>
      </c>
      <c r="B106">
        <v>16</v>
      </c>
      <c r="C106">
        <v>22</v>
      </c>
      <c r="D106">
        <v>1</v>
      </c>
    </row>
    <row r="107" spans="1:4">
      <c r="A107" t="s">
        <v>109</v>
      </c>
      <c r="B107">
        <v>3</v>
      </c>
      <c r="C107">
        <v>17</v>
      </c>
    </row>
    <row r="108" spans="1:4">
      <c r="A108" t="s">
        <v>110</v>
      </c>
      <c r="B108">
        <v>9</v>
      </c>
      <c r="C108">
        <v>19</v>
      </c>
      <c r="D108">
        <v>1</v>
      </c>
    </row>
    <row r="109" spans="1:4">
      <c r="A109" t="s">
        <v>111</v>
      </c>
      <c r="B109">
        <v>11</v>
      </c>
      <c r="C109">
        <v>23</v>
      </c>
      <c r="D109">
        <v>1</v>
      </c>
    </row>
    <row r="110" spans="1:4">
      <c r="A110" t="s">
        <v>112</v>
      </c>
      <c r="B110">
        <v>7</v>
      </c>
      <c r="C110">
        <v>13</v>
      </c>
    </row>
    <row r="111" spans="1:4">
      <c r="A111" t="s">
        <v>113</v>
      </c>
      <c r="B111">
        <v>2</v>
      </c>
      <c r="C111">
        <v>10</v>
      </c>
    </row>
    <row r="112" spans="1:4">
      <c r="A112" t="s">
        <v>114</v>
      </c>
      <c r="B112">
        <v>2</v>
      </c>
      <c r="C112">
        <v>10</v>
      </c>
    </row>
    <row r="113" spans="1:4">
      <c r="A113" t="s">
        <v>115</v>
      </c>
      <c r="B113">
        <v>2</v>
      </c>
      <c r="C113">
        <v>34</v>
      </c>
      <c r="D113">
        <v>1</v>
      </c>
    </row>
    <row r="114" spans="1:4">
      <c r="A114" t="s">
        <v>116</v>
      </c>
      <c r="B114">
        <v>9</v>
      </c>
      <c r="C114">
        <v>15</v>
      </c>
      <c r="D114">
        <v>1</v>
      </c>
    </row>
    <row r="115" spans="1:4">
      <c r="A115" t="s">
        <v>117</v>
      </c>
      <c r="B115">
        <v>18</v>
      </c>
      <c r="C115">
        <v>36</v>
      </c>
      <c r="D115">
        <v>2</v>
      </c>
    </row>
    <row r="116" spans="1:4">
      <c r="A116" t="s">
        <v>118</v>
      </c>
      <c r="B116">
        <v>3</v>
      </c>
      <c r="C116">
        <v>21</v>
      </c>
    </row>
    <row r="117" spans="1:4">
      <c r="A117" t="s">
        <v>119</v>
      </c>
      <c r="B117">
        <v>9</v>
      </c>
      <c r="C117">
        <v>24</v>
      </c>
      <c r="D117">
        <v>1</v>
      </c>
    </row>
    <row r="118" spans="1:4">
      <c r="A118" t="s">
        <v>120</v>
      </c>
      <c r="B118">
        <v>4</v>
      </c>
      <c r="C118">
        <v>87</v>
      </c>
    </row>
    <row r="119" spans="1:4">
      <c r="A119" t="s">
        <v>121</v>
      </c>
      <c r="B119">
        <v>14</v>
      </c>
      <c r="C119">
        <v>28</v>
      </c>
      <c r="D119">
        <v>1</v>
      </c>
    </row>
    <row r="120" spans="1:4">
      <c r="A120" t="s">
        <v>122</v>
      </c>
      <c r="B120">
        <v>5</v>
      </c>
      <c r="C120">
        <v>20</v>
      </c>
      <c r="D120">
        <v>1</v>
      </c>
    </row>
    <row r="121" spans="1:4">
      <c r="A121" t="s">
        <v>123</v>
      </c>
      <c r="B121">
        <v>6</v>
      </c>
      <c r="C121">
        <v>9</v>
      </c>
      <c r="D121">
        <v>1</v>
      </c>
    </row>
    <row r="122" spans="1:4">
      <c r="A122" t="s">
        <v>124</v>
      </c>
      <c r="B122">
        <v>4</v>
      </c>
      <c r="C122">
        <v>18</v>
      </c>
    </row>
    <row r="123" spans="1:4">
      <c r="A123" t="s">
        <v>125</v>
      </c>
      <c r="B123">
        <v>7</v>
      </c>
      <c r="C123">
        <v>13</v>
      </c>
      <c r="D123">
        <v>2</v>
      </c>
    </row>
    <row r="124" spans="1:4">
      <c r="A124" t="s">
        <v>126</v>
      </c>
      <c r="B124">
        <v>5</v>
      </c>
      <c r="C124">
        <v>88</v>
      </c>
    </row>
    <row r="125" spans="1:4">
      <c r="A125" t="s">
        <v>127</v>
      </c>
      <c r="B125">
        <v>6</v>
      </c>
      <c r="C125">
        <v>84</v>
      </c>
      <c r="D125">
        <v>7</v>
      </c>
    </row>
    <row r="126" spans="1:4">
      <c r="A126" t="s">
        <v>128</v>
      </c>
      <c r="B126">
        <v>6</v>
      </c>
      <c r="C126">
        <v>33</v>
      </c>
      <c r="D126">
        <v>3</v>
      </c>
    </row>
    <row r="127" spans="1:4">
      <c r="A127" t="s">
        <v>129</v>
      </c>
      <c r="B127">
        <v>7</v>
      </c>
      <c r="C127">
        <v>27</v>
      </c>
    </row>
    <row r="128" spans="1:4">
      <c r="A128" t="s">
        <v>130</v>
      </c>
      <c r="B128">
        <v>2</v>
      </c>
      <c r="C128">
        <v>22</v>
      </c>
    </row>
    <row r="129" spans="1:4">
      <c r="A129" t="s">
        <v>131</v>
      </c>
      <c r="B129">
        <v>2</v>
      </c>
      <c r="C129">
        <v>41</v>
      </c>
    </row>
    <row r="130" spans="1:4">
      <c r="A130" t="s">
        <v>132</v>
      </c>
      <c r="B130">
        <v>3</v>
      </c>
      <c r="C130">
        <v>36</v>
      </c>
    </row>
    <row r="131" spans="1:4">
      <c r="A131" t="s">
        <v>133</v>
      </c>
      <c r="B131">
        <v>6</v>
      </c>
      <c r="C131">
        <v>13</v>
      </c>
    </row>
    <row r="132" spans="1:4">
      <c r="A132" t="s">
        <v>134</v>
      </c>
      <c r="B132">
        <v>5</v>
      </c>
      <c r="C132">
        <v>75</v>
      </c>
      <c r="D132">
        <v>3</v>
      </c>
    </row>
    <row r="133" spans="1:4">
      <c r="A133" t="s">
        <v>135</v>
      </c>
      <c r="B133">
        <v>10</v>
      </c>
      <c r="C133">
        <v>15</v>
      </c>
    </row>
    <row r="134" spans="1:4">
      <c r="A134" t="s">
        <v>136</v>
      </c>
      <c r="B134">
        <v>9</v>
      </c>
      <c r="C134">
        <v>10</v>
      </c>
    </row>
    <row r="135" spans="1:4">
      <c r="A135" t="s">
        <v>137</v>
      </c>
      <c r="B135">
        <v>14</v>
      </c>
      <c r="C135">
        <v>22</v>
      </c>
      <c r="D135">
        <v>1</v>
      </c>
    </row>
    <row r="136" spans="1:4">
      <c r="A136" t="s">
        <v>138</v>
      </c>
      <c r="B136">
        <v>2</v>
      </c>
      <c r="C136">
        <v>7</v>
      </c>
      <c r="D136">
        <v>2</v>
      </c>
    </row>
    <row r="137" spans="1:4">
      <c r="A137" t="s">
        <v>139</v>
      </c>
      <c r="B137">
        <v>5</v>
      </c>
      <c r="C137">
        <v>9</v>
      </c>
    </row>
    <row r="138" spans="1:4">
      <c r="A138" t="s">
        <v>140</v>
      </c>
      <c r="B138">
        <v>10</v>
      </c>
      <c r="C138">
        <v>29</v>
      </c>
      <c r="D138">
        <v>1</v>
      </c>
    </row>
    <row r="139" spans="1:4">
      <c r="A139" t="s">
        <v>141</v>
      </c>
      <c r="B139">
        <v>2</v>
      </c>
      <c r="C139">
        <v>8</v>
      </c>
    </row>
    <row r="140" spans="1:4">
      <c r="A140" t="s">
        <v>142</v>
      </c>
      <c r="B140">
        <v>9</v>
      </c>
      <c r="C140">
        <v>31</v>
      </c>
      <c r="D140">
        <v>4</v>
      </c>
    </row>
    <row r="141" spans="1:4">
      <c r="A141" t="s">
        <v>143</v>
      </c>
      <c r="B141">
        <v>4</v>
      </c>
      <c r="C141">
        <v>12</v>
      </c>
      <c r="D141">
        <v>2</v>
      </c>
    </row>
    <row r="142" spans="1:4">
      <c r="A142" t="s">
        <v>144</v>
      </c>
      <c r="B142">
        <v>4</v>
      </c>
      <c r="C142">
        <v>7</v>
      </c>
      <c r="D142">
        <v>1</v>
      </c>
    </row>
    <row r="143" spans="1:4">
      <c r="A143" t="s">
        <v>145</v>
      </c>
      <c r="B143">
        <v>4</v>
      </c>
      <c r="C143">
        <v>21</v>
      </c>
      <c r="D143">
        <v>1</v>
      </c>
    </row>
    <row r="144" spans="1:4">
      <c r="A144" t="s">
        <v>146</v>
      </c>
      <c r="B144">
        <v>9</v>
      </c>
      <c r="C144">
        <v>43</v>
      </c>
      <c r="D144">
        <v>1</v>
      </c>
    </row>
    <row r="145" spans="1:4">
      <c r="A145" t="s">
        <v>147</v>
      </c>
      <c r="B145">
        <v>2</v>
      </c>
      <c r="C145">
        <v>5</v>
      </c>
    </row>
    <row r="146" spans="1:4">
      <c r="A146" t="s">
        <v>148</v>
      </c>
      <c r="B146">
        <v>8</v>
      </c>
      <c r="C146">
        <v>11</v>
      </c>
      <c r="D146">
        <v>2</v>
      </c>
    </row>
    <row r="147" spans="1:4">
      <c r="A147" t="s">
        <v>149</v>
      </c>
      <c r="B147">
        <v>12</v>
      </c>
      <c r="C147">
        <v>11</v>
      </c>
      <c r="D147">
        <v>2</v>
      </c>
    </row>
    <row r="148" spans="1:4">
      <c r="A148" t="s">
        <v>150</v>
      </c>
      <c r="B148">
        <v>2</v>
      </c>
      <c r="C148">
        <v>7</v>
      </c>
    </row>
    <row r="149" spans="1:4">
      <c r="A149" t="s">
        <v>151</v>
      </c>
      <c r="B149">
        <v>4</v>
      </c>
      <c r="C149">
        <v>11</v>
      </c>
      <c r="D149">
        <v>2</v>
      </c>
    </row>
    <row r="150" spans="1:4">
      <c r="A150" t="s">
        <v>152</v>
      </c>
      <c r="B150">
        <v>3</v>
      </c>
      <c r="C150">
        <v>5</v>
      </c>
    </row>
    <row r="151" spans="1:4">
      <c r="A151" t="s">
        <v>153</v>
      </c>
      <c r="B151">
        <v>2</v>
      </c>
      <c r="C151">
        <v>8</v>
      </c>
    </row>
    <row r="152" spans="1:4">
      <c r="A152" t="s">
        <v>154</v>
      </c>
      <c r="B152">
        <v>2</v>
      </c>
      <c r="C152">
        <v>11</v>
      </c>
      <c r="D152">
        <v>3</v>
      </c>
    </row>
    <row r="153" spans="1:4">
      <c r="A153" t="s">
        <v>155</v>
      </c>
      <c r="B153">
        <v>8</v>
      </c>
      <c r="C153">
        <v>53</v>
      </c>
      <c r="D153">
        <v>1</v>
      </c>
    </row>
    <row r="154" spans="1:4">
      <c r="A154" t="s">
        <v>156</v>
      </c>
      <c r="B154">
        <v>8</v>
      </c>
      <c r="C154">
        <v>8</v>
      </c>
      <c r="D154">
        <v>1</v>
      </c>
    </row>
    <row r="155" spans="1:4">
      <c r="A155" t="s">
        <v>157</v>
      </c>
      <c r="B155">
        <v>13</v>
      </c>
      <c r="C155">
        <v>30</v>
      </c>
      <c r="D155">
        <v>2</v>
      </c>
    </row>
    <row r="156" spans="1:4">
      <c r="A156" t="s">
        <v>158</v>
      </c>
      <c r="B156">
        <v>2</v>
      </c>
      <c r="C156">
        <v>16</v>
      </c>
    </row>
    <row r="157" spans="1:4">
      <c r="A157" t="s">
        <v>159</v>
      </c>
      <c r="B157">
        <v>4</v>
      </c>
      <c r="C157">
        <v>16</v>
      </c>
      <c r="D157">
        <v>2</v>
      </c>
    </row>
    <row r="158" spans="1:4">
      <c r="A158" t="s">
        <v>160</v>
      </c>
      <c r="B158">
        <v>5</v>
      </c>
      <c r="C158">
        <v>9</v>
      </c>
      <c r="D158">
        <v>1</v>
      </c>
    </row>
    <row r="159" spans="1:4">
      <c r="A159" t="s">
        <v>161</v>
      </c>
      <c r="B159">
        <v>7</v>
      </c>
      <c r="C159">
        <v>36</v>
      </c>
      <c r="D159">
        <v>3</v>
      </c>
    </row>
    <row r="160" spans="1:4">
      <c r="A160" t="s">
        <v>162</v>
      </c>
      <c r="B160">
        <v>7</v>
      </c>
      <c r="C160">
        <v>42</v>
      </c>
      <c r="D160">
        <v>2</v>
      </c>
    </row>
    <row r="161" spans="1:4">
      <c r="A161" t="s">
        <v>163</v>
      </c>
      <c r="B161">
        <v>8</v>
      </c>
      <c r="C161">
        <v>26</v>
      </c>
      <c r="D161">
        <v>1</v>
      </c>
    </row>
    <row r="162" spans="1:4">
      <c r="A162" t="s">
        <v>164</v>
      </c>
      <c r="B162">
        <v>8</v>
      </c>
      <c r="C162">
        <v>24</v>
      </c>
      <c r="D162">
        <v>1</v>
      </c>
    </row>
    <row r="163" spans="1:4" ht="15.75" thickBot="1">
      <c r="A163" t="s">
        <v>165</v>
      </c>
      <c r="B163">
        <v>8</v>
      </c>
      <c r="C163">
        <v>23</v>
      </c>
      <c r="D163">
        <v>1</v>
      </c>
    </row>
    <row r="164" spans="1:4" ht="45.75" thickBot="1">
      <c r="A164" s="100" t="s">
        <v>166</v>
      </c>
      <c r="B164" s="101" t="s">
        <v>167</v>
      </c>
      <c r="C164" s="101" t="s">
        <v>168</v>
      </c>
      <c r="D164" s="101" t="s">
        <v>169</v>
      </c>
    </row>
    <row r="165" spans="1:4">
      <c r="A165" t="s">
        <v>135</v>
      </c>
      <c r="B165">
        <v>21</v>
      </c>
      <c r="C165">
        <v>4</v>
      </c>
      <c r="D165">
        <v>25</v>
      </c>
    </row>
    <row r="166" spans="1:4">
      <c r="A166" t="s">
        <v>136</v>
      </c>
      <c r="B166">
        <v>28</v>
      </c>
      <c r="C166">
        <v>3</v>
      </c>
      <c r="D166">
        <v>19</v>
      </c>
    </row>
    <row r="167" spans="1:4">
      <c r="A167" t="s">
        <v>170</v>
      </c>
      <c r="B167">
        <v>44</v>
      </c>
      <c r="C167">
        <v>6</v>
      </c>
      <c r="D167">
        <v>22</v>
      </c>
    </row>
    <row r="168" spans="1:4" ht="15.75" thickBot="1">
      <c r="A168" t="s">
        <v>171</v>
      </c>
      <c r="B168">
        <v>53</v>
      </c>
      <c r="C168">
        <v>2</v>
      </c>
      <c r="D168">
        <v>17</v>
      </c>
    </row>
    <row r="169" spans="1:4" ht="45.75" thickBot="1">
      <c r="A169" s="100" t="s">
        <v>166</v>
      </c>
      <c r="B169" s="101" t="s">
        <v>172</v>
      </c>
      <c r="C169" s="101" t="s">
        <v>173</v>
      </c>
      <c r="D169" s="102" t="s">
        <v>174</v>
      </c>
    </row>
    <row r="170" spans="1:4">
      <c r="A170" t="s">
        <v>175</v>
      </c>
      <c r="D170">
        <v>65</v>
      </c>
    </row>
    <row r="171" spans="1:4">
      <c r="A171" t="s">
        <v>176</v>
      </c>
      <c r="D171">
        <v>63</v>
      </c>
    </row>
    <row r="172" spans="1:4">
      <c r="A172" t="s">
        <v>177</v>
      </c>
      <c r="D172">
        <v>15</v>
      </c>
    </row>
    <row r="173" spans="1:4">
      <c r="A173" t="s">
        <v>178</v>
      </c>
      <c r="D173">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66E76-4DBA-48BA-BEE3-B8044DBE92C2}">
  <dimension ref="A1:L372"/>
  <sheetViews>
    <sheetView zoomScale="115" zoomScaleNormal="115" workbookViewId="0">
      <selection activeCell="C345" sqref="C345"/>
    </sheetView>
  </sheetViews>
  <sheetFormatPr defaultColWidth="8.85546875" defaultRowHeight="15"/>
  <cols>
    <col min="1" max="1" width="28.28515625" style="21" customWidth="1"/>
    <col min="2" max="2" width="75.140625" customWidth="1"/>
    <col min="3" max="3" width="10.5703125" customWidth="1"/>
    <col min="4" max="4" width="11.5703125" style="2" customWidth="1"/>
    <col min="5" max="5" width="18.42578125" style="11" customWidth="1"/>
    <col min="6" max="6" width="57.28515625" style="11" customWidth="1"/>
    <col min="7" max="7" width="8.85546875" style="23"/>
    <col min="8" max="8" width="14.28515625" style="11" customWidth="1"/>
    <col min="10" max="10" width="15.140625" bestFit="1" customWidth="1"/>
    <col min="11" max="11" width="13.28515625" bestFit="1" customWidth="1"/>
    <col min="12" max="12" width="15.140625" bestFit="1" customWidth="1"/>
  </cols>
  <sheetData>
    <row r="1" spans="1:12" ht="60">
      <c r="A1" s="19" t="s">
        <v>179</v>
      </c>
      <c r="B1" s="5" t="s">
        <v>180</v>
      </c>
      <c r="C1" s="40" t="s">
        <v>181</v>
      </c>
      <c r="D1" s="40"/>
      <c r="E1" s="12" t="s">
        <v>182</v>
      </c>
      <c r="F1" s="12" t="s">
        <v>183</v>
      </c>
      <c r="G1" s="8" t="s">
        <v>184</v>
      </c>
      <c r="H1" s="12"/>
      <c r="I1" s="12" t="s">
        <v>185</v>
      </c>
      <c r="K1" s="12"/>
      <c r="L1" s="12"/>
    </row>
    <row r="2" spans="1:12">
      <c r="A2" s="183" t="s">
        <v>186</v>
      </c>
      <c r="B2" s="173" t="s">
        <v>187</v>
      </c>
      <c r="C2" s="202"/>
      <c r="D2" s="202"/>
      <c r="E2" s="52" t="s">
        <v>188</v>
      </c>
      <c r="F2" s="14" t="s">
        <v>189</v>
      </c>
      <c r="G2" s="73">
        <v>1</v>
      </c>
      <c r="H2" s="176"/>
      <c r="I2">
        <f>C2*G2</f>
        <v>0</v>
      </c>
      <c r="J2" s="66"/>
      <c r="K2" s="67"/>
      <c r="L2" s="67"/>
    </row>
    <row r="3" spans="1:12" ht="15" customHeight="1">
      <c r="A3" s="183"/>
      <c r="B3" s="174"/>
      <c r="C3" s="202"/>
      <c r="D3" s="202"/>
      <c r="E3" s="52" t="s">
        <v>190</v>
      </c>
      <c r="F3" s="14" t="s">
        <v>191</v>
      </c>
      <c r="G3" s="73">
        <v>1</v>
      </c>
      <c r="H3" s="177"/>
      <c r="I3">
        <f>C2*G3</f>
        <v>0</v>
      </c>
      <c r="J3" s="66"/>
      <c r="K3" s="67"/>
      <c r="L3" s="67"/>
    </row>
    <row r="4" spans="1:12">
      <c r="A4" s="183"/>
      <c r="B4" s="174"/>
      <c r="C4" s="202"/>
      <c r="D4" s="202"/>
      <c r="E4" s="52" t="s">
        <v>192</v>
      </c>
      <c r="F4" s="14" t="s">
        <v>193</v>
      </c>
      <c r="G4" s="73">
        <v>1</v>
      </c>
      <c r="H4" s="177"/>
      <c r="I4">
        <f>C2*G4</f>
        <v>0</v>
      </c>
      <c r="J4" s="66"/>
      <c r="K4" s="67"/>
      <c r="L4" s="67"/>
    </row>
    <row r="5" spans="1:12">
      <c r="A5" s="183"/>
      <c r="B5" s="174"/>
      <c r="C5" s="202"/>
      <c r="D5" s="202"/>
      <c r="E5" s="52" t="s">
        <v>194</v>
      </c>
      <c r="F5" s="14" t="s">
        <v>195</v>
      </c>
      <c r="G5" s="73">
        <v>3</v>
      </c>
      <c r="H5" s="177"/>
      <c r="I5">
        <f>C2*G5</f>
        <v>0</v>
      </c>
      <c r="J5" s="66"/>
      <c r="K5" s="67"/>
      <c r="L5" s="67"/>
    </row>
    <row r="6" spans="1:12">
      <c r="A6" s="183"/>
      <c r="B6" s="174"/>
      <c r="C6" s="202"/>
      <c r="D6" s="202"/>
      <c r="E6" s="52" t="s">
        <v>196</v>
      </c>
      <c r="F6" s="14" t="s">
        <v>197</v>
      </c>
      <c r="G6" s="73">
        <v>2</v>
      </c>
      <c r="H6" s="177"/>
      <c r="I6">
        <f>C2*G6</f>
        <v>0</v>
      </c>
      <c r="J6" s="66"/>
      <c r="K6" s="67"/>
      <c r="L6" s="67"/>
    </row>
    <row r="7" spans="1:12">
      <c r="A7" s="183"/>
      <c r="B7" s="175"/>
      <c r="C7" s="202"/>
      <c r="D7" s="202"/>
      <c r="E7" s="52" t="s">
        <v>198</v>
      </c>
      <c r="F7" s="14" t="s">
        <v>199</v>
      </c>
      <c r="G7" s="73">
        <v>2</v>
      </c>
      <c r="H7" s="178"/>
      <c r="I7">
        <f>C2*G7</f>
        <v>0</v>
      </c>
      <c r="J7" s="66"/>
      <c r="K7" s="67"/>
      <c r="L7" s="67"/>
    </row>
    <row r="8" spans="1:12" ht="30.95" customHeight="1">
      <c r="A8" s="149" t="s">
        <v>200</v>
      </c>
      <c r="B8" s="150" t="s">
        <v>201</v>
      </c>
      <c r="C8" s="202"/>
      <c r="D8" s="203"/>
      <c r="E8" s="34" t="s">
        <v>188</v>
      </c>
      <c r="F8" s="46" t="s">
        <v>189</v>
      </c>
      <c r="G8" s="77">
        <v>1</v>
      </c>
      <c r="H8" s="156"/>
      <c r="I8">
        <f>C8*G8</f>
        <v>0</v>
      </c>
      <c r="J8" s="66"/>
      <c r="K8" s="67"/>
      <c r="L8" s="67"/>
    </row>
    <row r="9" spans="1:12" ht="15" customHeight="1">
      <c r="A9" s="149"/>
      <c r="B9" s="151"/>
      <c r="C9" s="202"/>
      <c r="D9" s="203"/>
      <c r="E9" s="34" t="s">
        <v>190</v>
      </c>
      <c r="F9" s="46" t="s">
        <v>191</v>
      </c>
      <c r="G9" s="77">
        <v>1</v>
      </c>
      <c r="H9" s="157"/>
      <c r="I9">
        <f>C8*G9</f>
        <v>0</v>
      </c>
      <c r="J9" s="66"/>
      <c r="K9" s="67"/>
      <c r="L9" s="67"/>
    </row>
    <row r="10" spans="1:12">
      <c r="A10" s="149"/>
      <c r="B10" s="151"/>
      <c r="C10" s="202"/>
      <c r="D10" s="203"/>
      <c r="E10" s="34" t="s">
        <v>202</v>
      </c>
      <c r="F10" s="46" t="s">
        <v>193</v>
      </c>
      <c r="G10" s="77">
        <v>1</v>
      </c>
      <c r="H10" s="157"/>
      <c r="I10">
        <f>C8*G10</f>
        <v>0</v>
      </c>
      <c r="J10" s="66"/>
      <c r="K10" s="67"/>
      <c r="L10" s="67"/>
    </row>
    <row r="11" spans="1:12">
      <c r="A11" s="149"/>
      <c r="B11" s="151"/>
      <c r="C11" s="202"/>
      <c r="D11" s="203"/>
      <c r="E11" s="34" t="s">
        <v>194</v>
      </c>
      <c r="F11" s="46" t="s">
        <v>195</v>
      </c>
      <c r="G11" s="77">
        <v>3</v>
      </c>
      <c r="H11" s="157"/>
      <c r="I11">
        <f>C8*G11</f>
        <v>0</v>
      </c>
      <c r="J11" s="66"/>
      <c r="K11" s="67"/>
      <c r="L11" s="67"/>
    </row>
    <row r="12" spans="1:12">
      <c r="A12" s="149"/>
      <c r="B12" s="151"/>
      <c r="C12" s="202"/>
      <c r="D12" s="203"/>
      <c r="E12" s="34" t="s">
        <v>196</v>
      </c>
      <c r="F12" s="46" t="s">
        <v>197</v>
      </c>
      <c r="G12" s="77">
        <v>2</v>
      </c>
      <c r="H12" s="157"/>
      <c r="I12">
        <f>C8*G12</f>
        <v>0</v>
      </c>
      <c r="J12" s="66"/>
      <c r="K12" s="67"/>
      <c r="L12" s="67"/>
    </row>
    <row r="13" spans="1:12">
      <c r="A13" s="149"/>
      <c r="B13" s="152"/>
      <c r="C13" s="202"/>
      <c r="D13" s="203"/>
      <c r="E13" s="34" t="s">
        <v>203</v>
      </c>
      <c r="F13" s="46" t="s">
        <v>204</v>
      </c>
      <c r="G13" s="77">
        <v>2</v>
      </c>
      <c r="H13" s="158"/>
      <c r="I13">
        <f>C8*G13</f>
        <v>0</v>
      </c>
      <c r="J13" s="66"/>
      <c r="K13" s="67"/>
      <c r="L13" s="67"/>
    </row>
    <row r="14" spans="1:12">
      <c r="A14" s="183" t="s">
        <v>205</v>
      </c>
      <c r="B14" s="200" t="s">
        <v>206</v>
      </c>
      <c r="C14" s="165"/>
      <c r="D14" s="165"/>
      <c r="E14" s="53" t="s">
        <v>207</v>
      </c>
      <c r="F14" s="14" t="s">
        <v>208</v>
      </c>
      <c r="G14" s="73">
        <v>1</v>
      </c>
      <c r="H14" s="176"/>
      <c r="I14">
        <f>C14*G14</f>
        <v>0</v>
      </c>
      <c r="J14" s="66"/>
      <c r="K14" s="67"/>
      <c r="L14" s="67"/>
    </row>
    <row r="15" spans="1:12">
      <c r="A15" s="183"/>
      <c r="B15" s="200"/>
      <c r="C15" s="166"/>
      <c r="D15" s="166"/>
      <c r="E15" s="52" t="s">
        <v>209</v>
      </c>
      <c r="F15" s="14" t="s">
        <v>210</v>
      </c>
      <c r="G15" s="73">
        <f>G14</f>
        <v>1</v>
      </c>
      <c r="H15" s="177"/>
      <c r="I15">
        <f>C14*G15</f>
        <v>0</v>
      </c>
      <c r="J15" s="66"/>
      <c r="K15" s="67"/>
      <c r="L15" s="67"/>
    </row>
    <row r="16" spans="1:12" ht="15" customHeight="1">
      <c r="A16" s="183"/>
      <c r="B16" s="200"/>
      <c r="C16" s="166"/>
      <c r="D16" s="166"/>
      <c r="E16" s="52" t="s">
        <v>211</v>
      </c>
      <c r="F16" s="14" t="s">
        <v>212</v>
      </c>
      <c r="G16" s="73">
        <f>G14</f>
        <v>1</v>
      </c>
      <c r="H16" s="177"/>
      <c r="I16">
        <f>C14*G16</f>
        <v>0</v>
      </c>
      <c r="J16" s="66"/>
      <c r="K16" s="67"/>
      <c r="L16" s="67"/>
    </row>
    <row r="17" spans="1:12">
      <c r="A17" s="183"/>
      <c r="B17" s="200"/>
      <c r="C17" s="166"/>
      <c r="D17" s="166"/>
      <c r="E17" s="52" t="s">
        <v>213</v>
      </c>
      <c r="F17" s="14" t="s">
        <v>214</v>
      </c>
      <c r="G17" s="73">
        <f>2*G14</f>
        <v>2</v>
      </c>
      <c r="H17" s="177"/>
      <c r="I17">
        <f>C14*G17</f>
        <v>0</v>
      </c>
      <c r="J17" s="66"/>
      <c r="K17" s="67"/>
      <c r="L17" s="67"/>
    </row>
    <row r="18" spans="1:12">
      <c r="A18" s="183"/>
      <c r="B18" s="200"/>
      <c r="C18" s="167"/>
      <c r="D18" s="167"/>
      <c r="E18" s="52" t="s">
        <v>203</v>
      </c>
      <c r="F18" s="14" t="s">
        <v>204</v>
      </c>
      <c r="G18" s="73">
        <f>2*G14</f>
        <v>2</v>
      </c>
      <c r="H18" s="178"/>
      <c r="I18">
        <f>C14*G18</f>
        <v>0</v>
      </c>
      <c r="J18" s="66"/>
      <c r="K18" s="67"/>
      <c r="L18" s="67"/>
    </row>
    <row r="19" spans="1:12">
      <c r="A19" s="180" t="s">
        <v>215</v>
      </c>
      <c r="B19" s="150" t="s">
        <v>216</v>
      </c>
      <c r="C19" s="153"/>
      <c r="D19" s="153"/>
      <c r="E19" s="34" t="s">
        <v>217</v>
      </c>
      <c r="F19" s="46" t="s">
        <v>218</v>
      </c>
      <c r="G19" s="77">
        <v>1</v>
      </c>
      <c r="H19" s="156"/>
      <c r="I19">
        <f>C19*G19</f>
        <v>0</v>
      </c>
      <c r="J19" s="66"/>
      <c r="K19" s="67"/>
      <c r="L19" s="67"/>
    </row>
    <row r="20" spans="1:12" ht="30">
      <c r="A20" s="181"/>
      <c r="B20" s="151"/>
      <c r="C20" s="154"/>
      <c r="D20" s="154"/>
      <c r="E20" s="34" t="s">
        <v>219</v>
      </c>
      <c r="F20" s="46" t="s">
        <v>220</v>
      </c>
      <c r="G20" s="77">
        <v>4</v>
      </c>
      <c r="H20" s="157"/>
      <c r="I20">
        <f>C19*G20</f>
        <v>0</v>
      </c>
      <c r="J20" s="66"/>
      <c r="K20" s="67"/>
      <c r="L20" s="67"/>
    </row>
    <row r="21" spans="1:12" ht="30">
      <c r="A21" s="182"/>
      <c r="B21" s="152"/>
      <c r="C21" s="155"/>
      <c r="D21" s="155"/>
      <c r="E21" s="34" t="s">
        <v>221</v>
      </c>
      <c r="F21" s="46" t="s">
        <v>222</v>
      </c>
      <c r="G21" s="77">
        <v>2</v>
      </c>
      <c r="H21" s="158"/>
      <c r="I21">
        <f>C19*G21</f>
        <v>0</v>
      </c>
      <c r="J21" s="66"/>
      <c r="K21" s="67"/>
      <c r="L21" s="67"/>
    </row>
    <row r="22" spans="1:12" ht="15" customHeight="1">
      <c r="A22" s="198" t="s">
        <v>223</v>
      </c>
      <c r="B22" s="173" t="s">
        <v>224</v>
      </c>
      <c r="C22" s="153"/>
      <c r="D22" s="165"/>
      <c r="E22" s="52" t="s">
        <v>225</v>
      </c>
      <c r="F22" s="14" t="s">
        <v>218</v>
      </c>
      <c r="G22" s="73">
        <v>1</v>
      </c>
      <c r="H22" s="176"/>
      <c r="I22">
        <f>C22*G22</f>
        <v>0</v>
      </c>
      <c r="J22" s="66"/>
      <c r="K22" s="67"/>
      <c r="L22" s="67"/>
    </row>
    <row r="23" spans="1:12" ht="30">
      <c r="A23" s="199"/>
      <c r="B23" s="174"/>
      <c r="C23" s="154"/>
      <c r="D23" s="166"/>
      <c r="E23" s="52" t="s">
        <v>219</v>
      </c>
      <c r="F23" s="14" t="s">
        <v>220</v>
      </c>
      <c r="G23" s="73">
        <v>2</v>
      </c>
      <c r="H23" s="177"/>
      <c r="I23">
        <f>C22*G23</f>
        <v>0</v>
      </c>
      <c r="J23" s="66"/>
      <c r="K23" s="67"/>
      <c r="L23" s="67"/>
    </row>
    <row r="24" spans="1:12" ht="30">
      <c r="A24" s="201"/>
      <c r="B24" s="175"/>
      <c r="C24" s="155"/>
      <c r="D24" s="167"/>
      <c r="E24" s="52" t="s">
        <v>221</v>
      </c>
      <c r="F24" s="14" t="s">
        <v>222</v>
      </c>
      <c r="G24" s="73">
        <v>4</v>
      </c>
      <c r="H24" s="178"/>
      <c r="I24">
        <f>C22*G24</f>
        <v>0</v>
      </c>
      <c r="J24" s="66"/>
      <c r="K24" s="67"/>
      <c r="L24" s="67"/>
    </row>
    <row r="25" spans="1:12" ht="15" customHeight="1">
      <c r="A25" s="196" t="s">
        <v>226</v>
      </c>
      <c r="B25" s="150" t="s">
        <v>227</v>
      </c>
      <c r="C25" s="153"/>
      <c r="D25" s="153"/>
      <c r="E25" s="34" t="s">
        <v>228</v>
      </c>
      <c r="F25" s="46" t="s">
        <v>229</v>
      </c>
      <c r="G25" s="77">
        <v>1</v>
      </c>
      <c r="H25" s="156"/>
      <c r="I25">
        <f>C25*G25</f>
        <v>0</v>
      </c>
      <c r="J25" s="66"/>
      <c r="K25" s="67"/>
      <c r="L25" s="67"/>
    </row>
    <row r="26" spans="1:12" ht="30">
      <c r="A26" s="197"/>
      <c r="B26" s="151"/>
      <c r="C26" s="155"/>
      <c r="D26" s="155"/>
      <c r="E26" s="34" t="s">
        <v>221</v>
      </c>
      <c r="F26" s="46" t="s">
        <v>222</v>
      </c>
      <c r="G26" s="77">
        <v>12</v>
      </c>
      <c r="H26" s="158"/>
      <c r="I26">
        <f>C25*G26</f>
        <v>0</v>
      </c>
      <c r="J26" s="66"/>
      <c r="K26" s="67"/>
      <c r="L26" s="67"/>
    </row>
    <row r="27" spans="1:12">
      <c r="A27" s="198" t="s">
        <v>230</v>
      </c>
      <c r="B27" s="173" t="s">
        <v>231</v>
      </c>
      <c r="C27" s="153"/>
      <c r="D27" s="165"/>
      <c r="E27" s="52" t="s">
        <v>232</v>
      </c>
      <c r="F27" s="14" t="s">
        <v>233</v>
      </c>
      <c r="G27" s="73">
        <v>1</v>
      </c>
      <c r="H27" s="176"/>
      <c r="I27">
        <f>C27*G27</f>
        <v>0</v>
      </c>
      <c r="J27" s="66"/>
      <c r="K27" s="67"/>
      <c r="L27" s="67"/>
    </row>
    <row r="28" spans="1:12" ht="15" customHeight="1">
      <c r="A28" s="199"/>
      <c r="B28" s="175"/>
      <c r="C28" s="155"/>
      <c r="D28" s="167"/>
      <c r="E28" s="52" t="s">
        <v>221</v>
      </c>
      <c r="F28" s="14" t="s">
        <v>222</v>
      </c>
      <c r="G28" s="73">
        <v>4</v>
      </c>
      <c r="H28" s="178"/>
      <c r="I28">
        <f>C27*G28</f>
        <v>0</v>
      </c>
      <c r="J28" s="66"/>
      <c r="K28" s="67"/>
      <c r="L28" s="67"/>
    </row>
    <row r="29" spans="1:12">
      <c r="A29" s="196" t="s">
        <v>234</v>
      </c>
      <c r="B29" s="150" t="s">
        <v>235</v>
      </c>
      <c r="C29" s="153"/>
      <c r="D29" s="153"/>
      <c r="E29" s="34" t="s">
        <v>236</v>
      </c>
      <c r="F29" s="46" t="s">
        <v>237</v>
      </c>
      <c r="G29" s="77">
        <v>1</v>
      </c>
      <c r="H29" s="156"/>
      <c r="I29">
        <f>C29*G29</f>
        <v>0</v>
      </c>
      <c r="J29" s="66"/>
      <c r="K29" s="67"/>
      <c r="L29" s="67"/>
    </row>
    <row r="30" spans="1:12" ht="15" customHeight="1">
      <c r="A30" s="197"/>
      <c r="B30" s="151"/>
      <c r="C30" s="154"/>
      <c r="D30" s="154"/>
      <c r="E30" s="34" t="s">
        <v>221</v>
      </c>
      <c r="F30" s="46" t="s">
        <v>222</v>
      </c>
      <c r="G30" s="77">
        <v>4</v>
      </c>
      <c r="H30" s="157"/>
      <c r="I30">
        <f>C29*G30</f>
        <v>0</v>
      </c>
      <c r="J30" s="66"/>
      <c r="K30" s="67"/>
      <c r="L30" s="67"/>
    </row>
    <row r="31" spans="1:12" ht="30">
      <c r="A31" s="197"/>
      <c r="B31" s="151"/>
      <c r="C31" s="154"/>
      <c r="D31" s="154"/>
      <c r="E31" s="34" t="s">
        <v>238</v>
      </c>
      <c r="F31" s="46" t="s">
        <v>239</v>
      </c>
      <c r="G31" s="77">
        <v>8</v>
      </c>
      <c r="H31" s="157"/>
      <c r="I31">
        <f>C29*G31</f>
        <v>0</v>
      </c>
      <c r="J31" s="66"/>
      <c r="K31" s="67"/>
      <c r="L31" s="67"/>
    </row>
    <row r="32" spans="1:12" ht="32.1" customHeight="1">
      <c r="A32" s="197"/>
      <c r="B32" s="152"/>
      <c r="C32" s="155"/>
      <c r="D32" s="155"/>
      <c r="E32" s="34" t="s">
        <v>240</v>
      </c>
      <c r="F32" s="46" t="s">
        <v>241</v>
      </c>
      <c r="G32" s="77">
        <v>4</v>
      </c>
      <c r="H32" s="158"/>
      <c r="I32">
        <f>C29*G32</f>
        <v>0</v>
      </c>
      <c r="J32" s="66"/>
      <c r="K32" s="67"/>
      <c r="L32" s="67"/>
    </row>
    <row r="33" spans="1:12">
      <c r="A33" s="171" t="s">
        <v>242</v>
      </c>
      <c r="B33" s="173" t="s">
        <v>243</v>
      </c>
      <c r="C33" s="165"/>
      <c r="D33" s="165"/>
      <c r="E33" s="52" t="s">
        <v>244</v>
      </c>
      <c r="F33" s="14" t="s">
        <v>245</v>
      </c>
      <c r="G33" s="73">
        <v>1</v>
      </c>
      <c r="H33" s="176"/>
      <c r="I33">
        <f>C33*G33</f>
        <v>0</v>
      </c>
      <c r="J33" s="66"/>
      <c r="K33" s="67"/>
      <c r="L33" s="67"/>
    </row>
    <row r="34" spans="1:12" ht="30">
      <c r="A34" s="179"/>
      <c r="B34" s="175"/>
      <c r="C34" s="166"/>
      <c r="D34" s="167"/>
      <c r="E34" s="52" t="s">
        <v>246</v>
      </c>
      <c r="F34" s="14" t="s">
        <v>247</v>
      </c>
      <c r="G34" s="73">
        <v>2</v>
      </c>
      <c r="H34" s="178"/>
      <c r="I34">
        <f>C33*G34</f>
        <v>0</v>
      </c>
      <c r="J34" s="66"/>
      <c r="K34" s="67"/>
      <c r="L34" s="67"/>
    </row>
    <row r="35" spans="1:12">
      <c r="A35" s="20" t="s">
        <v>248</v>
      </c>
      <c r="B35" s="46" t="s">
        <v>249</v>
      </c>
      <c r="C35" s="77" t="e">
        <f>SUMIF('[2]AGGREGATION to PREAGG_Migration'!A:A,A35,'[2]AGGREGATION to PREAGG_Migration'!D:D)+SUMIF('[2]SR12E&amp;SR7_Card Expansion'!A:A,A35,'[2]SR12E&amp;SR7_Card Expansion'!D:D)+SUMIF('[2]IXR Card Expansion'!A:A,A35,'[2]IXR Card Expansion'!D:D)+SUMIF([2]PREAGG_v2_SR7B!A:A,A35,[2]PREAGG_v2_SR7B!D:D)+SUMIF([2]PREAGG_IXR_R6v2!A:A,A35,[2]PREAGG_IXR_R6v2!D:D)+SUMIF([2]CSG_V1!A:A,A35,[2]CSG_V1!D:D)+SUMIF([2]ESA!A:A,A35,[2]ESA!D:D)+SUMIF([2]Accessories!A:A,A35,[2]Accessories!D:D)</f>
        <v>#VALUE!</v>
      </c>
      <c r="D35" s="10"/>
      <c r="E35" s="54" t="s">
        <v>248</v>
      </c>
      <c r="F35" s="46" t="s">
        <v>249</v>
      </c>
      <c r="G35" s="77">
        <v>1</v>
      </c>
      <c r="H35" s="47"/>
      <c r="I35" s="6" t="e">
        <f>C35*G35</f>
        <v>#VALUE!</v>
      </c>
      <c r="J35" s="66"/>
      <c r="K35" s="67"/>
      <c r="L35" s="67"/>
    </row>
    <row r="36" spans="1:12" ht="32.1" customHeight="1">
      <c r="A36" s="18" t="s">
        <v>250</v>
      </c>
      <c r="B36" s="14" t="s">
        <v>251</v>
      </c>
      <c r="C36" s="77" t="e">
        <f>SUMIF('[2]AGGREGATION to PREAGG_Migration'!A:A,A36,'[2]AGGREGATION to PREAGG_Migration'!D:D)+SUMIF('[2]SR12E&amp;SR7_Card Expansion'!A:A,A36,'[2]SR12E&amp;SR7_Card Expansion'!D:D)+SUMIF('[2]IXR Card Expansion'!A:A,A36,'[2]IXR Card Expansion'!D:D)+SUMIF([2]PREAGG_v2_SR7B!A:A,A36,[2]PREAGG_v2_SR7B!D:D)+SUMIF([2]PREAGG_IXR_R6v2!A:A,A36,[2]PREAGG_IXR_R6v2!D:D)+SUMIF([2]CSG_V1!A:A,A36,[2]CSG_V1!D:D)+SUMIF([2]ESA!A:A,A36,[2]ESA!D:D)+SUMIF([2]Accessories!A:A,A36,[2]Accessories!D:D)</f>
        <v>#VALUE!</v>
      </c>
      <c r="D36" s="9"/>
      <c r="E36" s="55" t="s">
        <v>250</v>
      </c>
      <c r="F36" s="14" t="s">
        <v>251</v>
      </c>
      <c r="G36" s="73">
        <v>1</v>
      </c>
      <c r="H36" s="47"/>
      <c r="I36" s="6" t="e">
        <f t="shared" ref="I36:I51" si="0">C36*G36</f>
        <v>#VALUE!</v>
      </c>
      <c r="J36" s="66"/>
      <c r="K36" s="67"/>
      <c r="L36" s="67"/>
    </row>
    <row r="37" spans="1:12">
      <c r="A37" s="20" t="s">
        <v>252</v>
      </c>
      <c r="B37" s="46" t="s">
        <v>253</v>
      </c>
      <c r="C37" s="77" t="e">
        <f>SUMIF('[2]AGGREGATION to PREAGG_Migration'!A:A,A37,'[2]AGGREGATION to PREAGG_Migration'!D:D)+SUMIF('[2]SR12E&amp;SR7_Card Expansion'!A:A,A37,'[2]SR12E&amp;SR7_Card Expansion'!D:D)+SUMIF('[2]IXR Card Expansion'!A:A,A37,'[2]IXR Card Expansion'!D:D)+SUMIF([2]PREAGG_v2_SR7B!A:A,A37,[2]PREAGG_v2_SR7B!D:D)+SUMIF([2]PREAGG_IXR_R6v2!A:A,A37,[2]PREAGG_IXR_R6v2!D:D)+SUMIF([2]CSG_V1!A:A,A37,[2]CSG_V1!D:D)+SUMIF([2]ESA!A:A,A37,[2]ESA!D:D)+SUMIF([2]Accessories!A:A,A37,[2]Accessories!D:D)</f>
        <v>#VALUE!</v>
      </c>
      <c r="D37" s="10"/>
      <c r="E37" s="54" t="s">
        <v>252</v>
      </c>
      <c r="F37" s="46" t="s">
        <v>253</v>
      </c>
      <c r="G37" s="77">
        <v>1</v>
      </c>
      <c r="H37" s="47"/>
      <c r="I37" s="6" t="e">
        <f t="shared" si="0"/>
        <v>#VALUE!</v>
      </c>
      <c r="J37" s="66"/>
      <c r="K37" s="67"/>
      <c r="L37" s="67"/>
    </row>
    <row r="38" spans="1:12" s="6" customFormat="1" ht="15" customHeight="1">
      <c r="A38" s="20" t="s">
        <v>254</v>
      </c>
      <c r="B38" s="46" t="s">
        <v>255</v>
      </c>
      <c r="C38" s="77" t="e">
        <f>SUMIF('[2]AGGREGATION to PREAGG_Migration'!A:A,A38,'[2]AGGREGATION to PREAGG_Migration'!D:D)+SUMIF('[2]SR12E&amp;SR7_Card Expansion'!A:A,A38,'[2]SR12E&amp;SR7_Card Expansion'!D:D)+SUMIF('[2]IXR Card Expansion'!A:A,A38,'[2]IXR Card Expansion'!D:D)+SUMIF([2]PREAGG_v2_SR7B!A:A,A38,[2]PREAGG_v2_SR7B!D:D)+SUMIF([2]PREAGG_IXR_R6v2!A:A,A38,[2]PREAGG_IXR_R6v2!D:D)+SUMIF([2]CSG_V1!A:A,A38,[2]CSG_V1!D:D)+SUMIF([2]ESA!A:A,A38,[2]ESA!D:D)+SUMIF([2]Accessories!A:A,A38,[2]Accessories!D:D)</f>
        <v>#VALUE!</v>
      </c>
      <c r="D38" s="10"/>
      <c r="E38" s="54" t="s">
        <v>254</v>
      </c>
      <c r="F38" s="46" t="s">
        <v>255</v>
      </c>
      <c r="G38" s="77">
        <v>1</v>
      </c>
      <c r="H38" s="47"/>
      <c r="I38" s="6" t="e">
        <f t="shared" si="0"/>
        <v>#VALUE!</v>
      </c>
      <c r="J38" s="66"/>
      <c r="K38" s="67"/>
      <c r="L38" s="67"/>
    </row>
    <row r="39" spans="1:12" s="6" customFormat="1">
      <c r="A39" s="18" t="s">
        <v>256</v>
      </c>
      <c r="B39" s="14" t="s">
        <v>257</v>
      </c>
      <c r="C39" s="77" t="e">
        <f>SUMIF('[2]AGGREGATION to PREAGG_Migration'!A:A,A39,'[2]AGGREGATION to PREAGG_Migration'!D:D)+SUMIF('[2]SR12E&amp;SR7_Card Expansion'!A:A,A39,'[2]SR12E&amp;SR7_Card Expansion'!D:D)+SUMIF('[2]IXR Card Expansion'!A:A,A39,'[2]IXR Card Expansion'!D:D)+SUMIF([2]PREAGG_v2_SR7B!A:A,A39,[2]PREAGG_v2_SR7B!D:D)+SUMIF([2]PREAGG_IXR_R6v2!A:A,A39,[2]PREAGG_IXR_R6v2!D:D)+SUMIF([2]CSG_V1!A:A,A39,[2]CSG_V1!D:D)+SUMIF([2]ESA!A:A,A39,[2]ESA!D:D)+SUMIF([2]Accessories!A:A,A39,[2]Accessories!D:D)</f>
        <v>#VALUE!</v>
      </c>
      <c r="D39" s="9"/>
      <c r="E39" s="55" t="s">
        <v>256</v>
      </c>
      <c r="F39" s="14" t="s">
        <v>257</v>
      </c>
      <c r="G39" s="73">
        <v>1</v>
      </c>
      <c r="H39" s="47"/>
      <c r="I39" s="6" t="e">
        <f t="shared" si="0"/>
        <v>#VALUE!</v>
      </c>
      <c r="J39" s="66"/>
      <c r="K39" s="67"/>
      <c r="L39" s="67"/>
    </row>
    <row r="40" spans="1:12" s="6" customFormat="1">
      <c r="A40" s="20" t="s">
        <v>258</v>
      </c>
      <c r="B40" s="46" t="s">
        <v>259</v>
      </c>
      <c r="C40" s="77" t="e">
        <f>SUMIF('[2]AGGREGATION to PREAGG_Migration'!A:A,A40,'[2]AGGREGATION to PREAGG_Migration'!D:D)+SUMIF('[2]SR12E&amp;SR7_Card Expansion'!A:A,A40,'[2]SR12E&amp;SR7_Card Expansion'!D:D)+SUMIF('[2]IXR Card Expansion'!A:A,A40,'[2]IXR Card Expansion'!D:D)+SUMIF([2]PREAGG_v2_SR7B!A:A,A40,[2]PREAGG_v2_SR7B!D:D)+SUMIF([2]PREAGG_IXR_R6v2!A:A,A40,[2]PREAGG_IXR_R6v2!D:D)+SUMIF([2]CSG_V1!A:A,A40,[2]CSG_V1!D:D)+SUMIF([2]ESA!A:A,A40,[2]ESA!D:D)+SUMIF([2]Accessories!A:A,A40,[2]Accessories!D:D)</f>
        <v>#VALUE!</v>
      </c>
      <c r="D40" s="10"/>
      <c r="E40" s="54" t="s">
        <v>258</v>
      </c>
      <c r="F40" s="46" t="s">
        <v>259</v>
      </c>
      <c r="G40" s="77">
        <v>1</v>
      </c>
      <c r="H40" s="47"/>
      <c r="I40" s="6" t="e">
        <f t="shared" si="0"/>
        <v>#VALUE!</v>
      </c>
      <c r="J40" s="66"/>
      <c r="K40" s="67"/>
      <c r="L40" s="67"/>
    </row>
    <row r="41" spans="1:12" s="6" customFormat="1">
      <c r="A41" s="18" t="s">
        <v>260</v>
      </c>
      <c r="B41" s="14" t="s">
        <v>261</v>
      </c>
      <c r="C41" s="77" t="e">
        <f>SUMIF('[2]AGGREGATION to PREAGG_Migration'!A:A,A41,'[2]AGGREGATION to PREAGG_Migration'!D:D)+SUMIF('[2]SR12E&amp;SR7_Card Expansion'!A:A,A41,'[2]SR12E&amp;SR7_Card Expansion'!D:D)+SUMIF('[2]IXR Card Expansion'!A:A,A41,'[2]IXR Card Expansion'!D:D)+SUMIF([2]PREAGG_v2_SR7B!A:A,A41,[2]PREAGG_v2_SR7B!D:D)+SUMIF([2]PREAGG_IXR_R6v2!A:A,A41,[2]PREAGG_IXR_R6v2!D:D)+SUMIF([2]CSG_V1!A:A,A41,[2]CSG_V1!D:D)+SUMIF([2]ESA!A:A,A41,[2]ESA!D:D)+SUMIF([2]Accessories!A:A,A41,[2]Accessories!D:D)</f>
        <v>#VALUE!</v>
      </c>
      <c r="D41" s="9"/>
      <c r="E41" s="55" t="s">
        <v>260</v>
      </c>
      <c r="F41" s="14" t="s">
        <v>261</v>
      </c>
      <c r="G41" s="73">
        <v>1</v>
      </c>
      <c r="H41" s="47"/>
      <c r="I41" s="6" t="e">
        <f t="shared" si="0"/>
        <v>#VALUE!</v>
      </c>
      <c r="J41" s="66"/>
      <c r="K41" s="67"/>
      <c r="L41" s="67"/>
    </row>
    <row r="42" spans="1:12" s="6" customFormat="1">
      <c r="A42" s="20" t="s">
        <v>262</v>
      </c>
      <c r="B42" s="46" t="s">
        <v>263</v>
      </c>
      <c r="C42" s="77" t="e">
        <f>SUMIF('[2]AGGREGATION to PREAGG_Migration'!A:A,A42,'[2]AGGREGATION to PREAGG_Migration'!D:D)+SUMIF('[2]SR12E&amp;SR7_Card Expansion'!A:A,A42,'[2]SR12E&amp;SR7_Card Expansion'!D:D)+SUMIF('[2]IXR Card Expansion'!A:A,A42,'[2]IXR Card Expansion'!D:D)+SUMIF([2]PREAGG_v2_SR7B!A:A,A42,[2]PREAGG_v2_SR7B!D:D)+SUMIF([2]PREAGG_IXR_R6v2!A:A,A42,[2]PREAGG_IXR_R6v2!D:D)+SUMIF([2]CSG_V1!A:A,A42,[2]CSG_V1!D:D)+SUMIF([2]ESA!A:A,A42,[2]ESA!D:D)+SUMIF([2]Accessories!A:A,A42,[2]Accessories!D:D)</f>
        <v>#VALUE!</v>
      </c>
      <c r="D42" s="10"/>
      <c r="E42" s="54" t="s">
        <v>262</v>
      </c>
      <c r="F42" s="46" t="s">
        <v>263</v>
      </c>
      <c r="G42" s="77">
        <v>1</v>
      </c>
      <c r="H42" s="47"/>
      <c r="I42" s="6" t="e">
        <f t="shared" si="0"/>
        <v>#VALUE!</v>
      </c>
      <c r="J42" s="66"/>
      <c r="K42" s="67"/>
      <c r="L42" s="67"/>
    </row>
    <row r="43" spans="1:12" s="6" customFormat="1">
      <c r="A43" s="20" t="s">
        <v>264</v>
      </c>
      <c r="B43" s="46" t="s">
        <v>197</v>
      </c>
      <c r="C43" s="77" t="e">
        <f>SUMIF('[2]AGGREGATION to PREAGG_Migration'!A:A,A43,'[2]AGGREGATION to PREAGG_Migration'!D:D)+SUMIF('[2]SR12E&amp;SR7_Card Expansion'!A:A,A43,'[2]SR12E&amp;SR7_Card Expansion'!D:D)+SUMIF('[2]IXR Card Expansion'!A:A,A43,'[2]IXR Card Expansion'!D:D)+SUMIF([2]PREAGG_v2_SR7B!A:A,A43,[2]PREAGG_v2_SR7B!D:D)+SUMIF([2]PREAGG_IXR_R6v2!A:A,A43,[2]PREAGG_IXR_R6v2!D:D)+SUMIF([2]CSG_V1!A:A,A43,[2]CSG_V1!D:D)+SUMIF([2]ESA!A:A,A43,[2]ESA!D:D)+SUMIF([2]Accessories!A:A,A43,[2]Accessories!D:D)</f>
        <v>#VALUE!</v>
      </c>
      <c r="D43" s="10"/>
      <c r="E43" s="54" t="s">
        <v>264</v>
      </c>
      <c r="F43" s="46" t="s">
        <v>197</v>
      </c>
      <c r="G43" s="77">
        <v>1</v>
      </c>
      <c r="H43" s="47"/>
      <c r="I43" s="6" t="e">
        <f t="shared" si="0"/>
        <v>#VALUE!</v>
      </c>
      <c r="J43" s="66"/>
      <c r="K43" s="67"/>
      <c r="L43" s="67"/>
    </row>
    <row r="44" spans="1:12" s="6" customFormat="1">
      <c r="A44" s="18" t="s">
        <v>213</v>
      </c>
      <c r="B44" s="14" t="s">
        <v>214</v>
      </c>
      <c r="C44" s="77" t="e">
        <f>SUMIF('[2]AGGREGATION to PREAGG_Migration'!A:A,A44,'[2]AGGREGATION to PREAGG_Migration'!D:D)+SUMIF('[2]SR12E&amp;SR7_Card Expansion'!A:A,A44,'[2]SR12E&amp;SR7_Card Expansion'!D:D)+SUMIF('[2]IXR Card Expansion'!A:A,A44,'[2]IXR Card Expansion'!D:D)+SUMIF([2]PREAGG_v2_SR7B!A:A,A44,[2]PREAGG_v2_SR7B!D:D)+SUMIF([2]PREAGG_IXR_R6v2!A:A,A44,[2]PREAGG_IXR_R6v2!D:D)+SUMIF([2]CSG_V1!A:A,A44,[2]CSG_V1!D:D)+SUMIF([2]ESA!A:A,A44,[2]ESA!D:D)+SUMIF([2]Accessories!A:A,A44,[2]Accessories!D:D)</f>
        <v>#VALUE!</v>
      </c>
      <c r="D44" s="9"/>
      <c r="E44" s="55" t="s">
        <v>213</v>
      </c>
      <c r="F44" s="14" t="s">
        <v>214</v>
      </c>
      <c r="G44" s="73">
        <v>1</v>
      </c>
      <c r="H44" s="47"/>
      <c r="I44" s="6" t="e">
        <f t="shared" si="0"/>
        <v>#VALUE!</v>
      </c>
      <c r="J44" s="66"/>
      <c r="K44" s="67"/>
      <c r="L44" s="67"/>
    </row>
    <row r="45" spans="1:12" s="6" customFormat="1">
      <c r="A45" s="20" t="s">
        <v>198</v>
      </c>
      <c r="B45" s="46" t="s">
        <v>199</v>
      </c>
      <c r="C45" s="77" t="e">
        <f>SUMIF('[2]AGGREGATION to PREAGG_Migration'!A:A,A45,'[2]AGGREGATION to PREAGG_Migration'!D:D)+SUMIF('[2]SR12E&amp;SR7_Card Expansion'!A:A,A45,'[2]SR12E&amp;SR7_Card Expansion'!D:D)+SUMIF('[2]IXR Card Expansion'!A:A,A45,'[2]IXR Card Expansion'!D:D)+SUMIF([2]PREAGG_v2_SR7B!A:A,A45,[2]PREAGG_v2_SR7B!D:D)+SUMIF([2]PREAGG_IXR_R6v2!A:A,A45,[2]PREAGG_IXR_R6v2!D:D)+SUMIF([2]CSG_V1!A:A,A45,[2]CSG_V1!D:D)+SUMIF([2]ESA!A:A,A45,[2]ESA!D:D)+SUMIF([2]Accessories!A:A,A45,[2]Accessories!D:D)</f>
        <v>#VALUE!</v>
      </c>
      <c r="D45" s="10"/>
      <c r="E45" s="54" t="s">
        <v>198</v>
      </c>
      <c r="F45" s="46" t="s">
        <v>199</v>
      </c>
      <c r="G45" s="77">
        <v>1</v>
      </c>
      <c r="H45" s="47"/>
      <c r="I45" s="6" t="e">
        <f t="shared" si="0"/>
        <v>#VALUE!</v>
      </c>
      <c r="J45" s="66"/>
      <c r="K45" s="67"/>
      <c r="L45" s="67"/>
    </row>
    <row r="46" spans="1:12" s="6" customFormat="1">
      <c r="A46" s="18" t="s">
        <v>203</v>
      </c>
      <c r="B46" s="14" t="s">
        <v>204</v>
      </c>
      <c r="C46" s="77" t="e">
        <f>SUMIF('[2]AGGREGATION to PREAGG_Migration'!A:A,A46,'[2]AGGREGATION to PREAGG_Migration'!D:D)+SUMIF('[2]SR12E&amp;SR7_Card Expansion'!A:A,A46,'[2]SR12E&amp;SR7_Card Expansion'!D:D)+SUMIF('[2]IXR Card Expansion'!A:A,A46,'[2]IXR Card Expansion'!D:D)+SUMIF([2]PREAGG_v2_SR7B!A:A,A46,[2]PREAGG_v2_SR7B!D:D)+SUMIF([2]PREAGG_IXR_R6v2!A:A,A46,[2]PREAGG_IXR_R6v2!D:D)+SUMIF([2]CSG_V1!A:A,A46,[2]CSG_V1!D:D)+SUMIF([2]ESA!A:A,A46,[2]ESA!D:D)+SUMIF([2]Accessories!A:A,A46,[2]Accessories!D:D)</f>
        <v>#VALUE!</v>
      </c>
      <c r="D46" s="9"/>
      <c r="E46" s="55" t="s">
        <v>203</v>
      </c>
      <c r="F46" s="14" t="s">
        <v>204</v>
      </c>
      <c r="G46" s="73">
        <v>1</v>
      </c>
      <c r="H46" s="47"/>
      <c r="I46" s="6" t="e">
        <f t="shared" si="0"/>
        <v>#VALUE!</v>
      </c>
      <c r="J46" s="66"/>
      <c r="K46" s="67"/>
      <c r="L46" s="67"/>
    </row>
    <row r="47" spans="1:12" s="6" customFormat="1">
      <c r="A47" s="20" t="s">
        <v>265</v>
      </c>
      <c r="B47" s="46" t="s">
        <v>266</v>
      </c>
      <c r="C47" s="77" t="e">
        <f>SUMIF('[2]AGGREGATION to PREAGG_Migration'!A:A,A47,'[2]AGGREGATION to PREAGG_Migration'!D:D)+SUMIF('[2]SR12E&amp;SR7_Card Expansion'!A:A,A47,'[2]SR12E&amp;SR7_Card Expansion'!D:D)+SUMIF('[2]IXR Card Expansion'!A:A,A47,'[2]IXR Card Expansion'!D:D)+SUMIF([2]PREAGG_v2_SR7B!A:A,A47,[2]PREAGG_v2_SR7B!D:D)+SUMIF([2]PREAGG_IXR_R6v2!A:A,A47,[2]PREAGG_IXR_R6v2!D:D)+SUMIF([2]CSG_V1!A:A,A47,[2]CSG_V1!D:D)+SUMIF([2]ESA!A:A,A47,[2]ESA!D:D)+SUMIF([2]Accessories!A:A,A47,[2]Accessories!D:D)</f>
        <v>#VALUE!</v>
      </c>
      <c r="D47" s="10"/>
      <c r="E47" s="54" t="s">
        <v>265</v>
      </c>
      <c r="F47" s="46" t="s">
        <v>266</v>
      </c>
      <c r="G47" s="77">
        <v>1</v>
      </c>
      <c r="H47" s="47"/>
      <c r="I47" s="6" t="e">
        <f t="shared" si="0"/>
        <v>#VALUE!</v>
      </c>
      <c r="J47" s="66"/>
      <c r="K47" s="67"/>
      <c r="L47" s="67"/>
    </row>
    <row r="48" spans="1:12" s="6" customFormat="1">
      <c r="A48" s="18" t="s">
        <v>232</v>
      </c>
      <c r="B48" s="14" t="s">
        <v>229</v>
      </c>
      <c r="C48" s="77" t="e">
        <f>SUMIF('[2]AGGREGATION to PREAGG_Migration'!A:A,A48,'[2]AGGREGATION to PREAGG_Migration'!D:D)+SUMIF('[2]SR12E&amp;SR7_Card Expansion'!A:A,A48,'[2]SR12E&amp;SR7_Card Expansion'!D:D)+SUMIF('[2]IXR Card Expansion'!A:A,A48,'[2]IXR Card Expansion'!D:D)+SUMIF([2]PREAGG_v2_SR7B!A:A,A48,[2]PREAGG_v2_SR7B!D:D)+SUMIF([2]PREAGG_IXR_R6v2!A:A,A48,[2]PREAGG_IXR_R6v2!D:D)+SUMIF([2]CSG_V1!A:A,A48,[2]CSG_V1!D:D)+SUMIF([2]ESA!A:A,A48,[2]ESA!D:D)+SUMIF([2]Accessories!A:A,A48,[2]Accessories!D:D)</f>
        <v>#VALUE!</v>
      </c>
      <c r="D48" s="9"/>
      <c r="E48" s="55" t="s">
        <v>232</v>
      </c>
      <c r="F48" s="14" t="s">
        <v>229</v>
      </c>
      <c r="G48" s="73">
        <v>1</v>
      </c>
      <c r="H48" s="47"/>
      <c r="I48" s="6" t="e">
        <f t="shared" si="0"/>
        <v>#VALUE!</v>
      </c>
      <c r="J48" s="66"/>
      <c r="K48" s="67"/>
      <c r="L48" s="67"/>
    </row>
    <row r="49" spans="1:12" s="6" customFormat="1">
      <c r="A49" s="20" t="s">
        <v>236</v>
      </c>
      <c r="B49" s="46" t="s">
        <v>237</v>
      </c>
      <c r="C49" s="77" t="e">
        <f>SUMIF('[2]AGGREGATION to PREAGG_Migration'!A:A,A49,'[2]AGGREGATION to PREAGG_Migration'!D:D)+SUMIF('[2]SR12E&amp;SR7_Card Expansion'!A:A,A49,'[2]SR12E&amp;SR7_Card Expansion'!D:D)+SUMIF('[2]IXR Card Expansion'!A:A,A49,'[2]IXR Card Expansion'!D:D)+SUMIF([2]PREAGG_v2_SR7B!A:A,A49,[2]PREAGG_v2_SR7B!D:D)+SUMIF([2]PREAGG_IXR_R6v2!A:A,A49,[2]PREAGG_IXR_R6v2!D:D)+SUMIF([2]CSG_V1!A:A,A49,[2]CSG_V1!D:D)+SUMIF([2]ESA!A:A,A49,[2]ESA!D:D)+SUMIF([2]Accessories!A:A,A49,[2]Accessories!D:D)</f>
        <v>#VALUE!</v>
      </c>
      <c r="D49" s="10"/>
      <c r="E49" s="54" t="s">
        <v>236</v>
      </c>
      <c r="F49" s="46" t="s">
        <v>237</v>
      </c>
      <c r="G49" s="77">
        <v>1</v>
      </c>
      <c r="H49" s="47"/>
      <c r="I49" s="6" t="e">
        <f t="shared" si="0"/>
        <v>#VALUE!</v>
      </c>
      <c r="J49" s="66"/>
      <c r="K49" s="67"/>
      <c r="L49" s="67"/>
    </row>
    <row r="50" spans="1:12" s="6" customFormat="1">
      <c r="A50" s="18" t="s">
        <v>267</v>
      </c>
      <c r="B50" s="14" t="s">
        <v>268</v>
      </c>
      <c r="C50" s="77" t="e">
        <f>SUMIF('[2]AGGREGATION to PREAGG_Migration'!A:A,A50,'[2]AGGREGATION to PREAGG_Migration'!D:D)+SUMIF('[2]SR12E&amp;SR7_Card Expansion'!A:A,A50,'[2]SR12E&amp;SR7_Card Expansion'!D:D)+SUMIF('[2]IXR Card Expansion'!A:A,A50,'[2]IXR Card Expansion'!D:D)+SUMIF([2]PREAGG_v2_SR7B!A:A,A50,[2]PREAGG_v2_SR7B!D:D)+SUMIF([2]PREAGG_IXR_R6v2!A:A,A50,[2]PREAGG_IXR_R6v2!D:D)+SUMIF([2]CSG_V1!A:A,A50,[2]CSG_V1!D:D)+SUMIF([2]ESA!A:A,A50,[2]ESA!D:D)+SUMIF([2]Accessories!A:A,A50,[2]Accessories!D:D)</f>
        <v>#VALUE!</v>
      </c>
      <c r="D50" s="9"/>
      <c r="E50" s="55" t="s">
        <v>267</v>
      </c>
      <c r="F50" s="14" t="s">
        <v>268</v>
      </c>
      <c r="G50" s="73">
        <v>1</v>
      </c>
      <c r="H50" s="47"/>
      <c r="I50" s="6" t="e">
        <f t="shared" si="0"/>
        <v>#VALUE!</v>
      </c>
      <c r="J50" s="66"/>
      <c r="K50" s="67"/>
      <c r="L50" s="67"/>
    </row>
    <row r="51" spans="1:12" s="6" customFormat="1">
      <c r="A51" s="20" t="s">
        <v>225</v>
      </c>
      <c r="B51" s="46" t="s">
        <v>218</v>
      </c>
      <c r="C51" s="77" t="e">
        <f>SUMIF('[2]AGGREGATION to PREAGG_Migration'!A:A,A51,'[2]AGGREGATION to PREAGG_Migration'!D:D)+SUMIF('[2]SR12E&amp;SR7_Card Expansion'!A:A,A51,'[2]SR12E&amp;SR7_Card Expansion'!D:D)+SUMIF('[2]IXR Card Expansion'!A:A,A51,'[2]IXR Card Expansion'!D:D)+SUMIF([2]PREAGG_v2_SR7B!A:A,A51,[2]PREAGG_v2_SR7B!D:D)+SUMIF([2]PREAGG_IXR_R6v2!A:A,A51,[2]PREAGG_IXR_R6v2!D:D)+SUMIF([2]CSG_V1!A:A,A51,[2]CSG_V1!D:D)+SUMIF([2]ESA!A:A,A51,[2]ESA!D:D)+SUMIF([2]Accessories!A:A,A51,[2]Accessories!D:D)</f>
        <v>#VALUE!</v>
      </c>
      <c r="D51" s="10"/>
      <c r="E51" s="54" t="s">
        <v>225</v>
      </c>
      <c r="F51" s="46" t="s">
        <v>218</v>
      </c>
      <c r="G51" s="77">
        <v>1</v>
      </c>
      <c r="H51" s="47"/>
      <c r="I51" s="6" t="e">
        <f t="shared" si="0"/>
        <v>#VALUE!</v>
      </c>
      <c r="J51" s="66"/>
      <c r="K51" s="67"/>
      <c r="L51" s="67"/>
    </row>
    <row r="52" spans="1:12" s="6" customFormat="1">
      <c r="A52" s="182" t="s">
        <v>269</v>
      </c>
      <c r="B52" s="150" t="s">
        <v>270</v>
      </c>
      <c r="C52" s="153" t="e">
        <f>SUMIF('[2]AGGREGATION to PREAGG_Migration'!A:A,A52,'[2]AGGREGATION to PREAGG_Migration'!D:D)+SUMIF('[2]SR12E&amp;SR7_Card Expansion'!A:A,A52,'[2]SR12E&amp;SR7_Card Expansion'!D:D)+SUMIF('[2]IXR Card Expansion'!A:A,A52,'[2]IXR Card Expansion'!D:D)+SUMIF([2]PREAGG_v2_SR7B!A:A,A52,[2]PREAGG_v2_SR7B!D:D)+SUMIF([2]PREAGG_IXR_R6v2!A:A,A52,[2]PREAGG_IXR_R6v2!D:D)+SUMIF([2]CSG_V1!A:A,A52,[2]CSG_V1!D:D)+SUMIF([2]ESA!A:A,A52,[2]ESA!D:D)+SUMIF([2]Accessories!A:A,A52,[2]Accessories!D:D)</f>
        <v>#VALUE!</v>
      </c>
      <c r="D52" s="153"/>
      <c r="E52" s="56" t="s">
        <v>271</v>
      </c>
      <c r="F52" s="46" t="s">
        <v>272</v>
      </c>
      <c r="G52" s="77">
        <v>1</v>
      </c>
      <c r="H52" s="156"/>
      <c r="I52" s="6" t="e">
        <f>C52*G52</f>
        <v>#VALUE!</v>
      </c>
      <c r="J52" s="66"/>
      <c r="K52" s="67"/>
      <c r="L52" s="67"/>
    </row>
    <row r="53" spans="1:12" s="6" customFormat="1">
      <c r="A53" s="149"/>
      <c r="B53" s="151"/>
      <c r="C53" s="154"/>
      <c r="D53" s="154"/>
      <c r="E53" s="34" t="s">
        <v>273</v>
      </c>
      <c r="F53" s="46" t="s">
        <v>274</v>
      </c>
      <c r="G53" s="77">
        <v>2</v>
      </c>
      <c r="H53" s="157"/>
      <c r="I53" s="6" t="e">
        <f>C52*G53</f>
        <v>#VALUE!</v>
      </c>
      <c r="J53" s="66"/>
      <c r="K53" s="67"/>
      <c r="L53" s="67"/>
    </row>
    <row r="54" spans="1:12" s="6" customFormat="1" ht="30">
      <c r="A54" s="149"/>
      <c r="B54" s="151"/>
      <c r="C54" s="154"/>
      <c r="D54" s="154"/>
      <c r="E54" s="34" t="s">
        <v>219</v>
      </c>
      <c r="F54" s="46" t="s">
        <v>220</v>
      </c>
      <c r="G54" s="77">
        <v>8</v>
      </c>
      <c r="H54" s="157"/>
      <c r="I54" t="e">
        <f>C52*G54</f>
        <v>#VALUE!</v>
      </c>
      <c r="J54" s="66"/>
      <c r="K54" s="67"/>
      <c r="L54" s="67"/>
    </row>
    <row r="55" spans="1:12" s="6" customFormat="1" ht="30">
      <c r="A55" s="149"/>
      <c r="B55" s="152"/>
      <c r="C55" s="155"/>
      <c r="D55" s="155"/>
      <c r="E55" s="34" t="s">
        <v>221</v>
      </c>
      <c r="F55" s="46" t="s">
        <v>222</v>
      </c>
      <c r="G55" s="77">
        <v>10</v>
      </c>
      <c r="H55" s="158"/>
      <c r="I55" t="e">
        <f>C52*G55</f>
        <v>#VALUE!</v>
      </c>
      <c r="J55" s="66"/>
      <c r="K55" s="67"/>
      <c r="L55" s="67"/>
    </row>
    <row r="56" spans="1:12">
      <c r="A56" s="183" t="s">
        <v>275</v>
      </c>
      <c r="B56" s="173" t="s">
        <v>276</v>
      </c>
      <c r="C56" s="165" t="e">
        <f>SUMIF('[2]AGGREGATION to PREAGG_Migration'!A:A,A56,'[2]AGGREGATION to PREAGG_Migration'!D:D)+SUMIF('[2]SR12E&amp;SR7_Card Expansion'!A:A,A56,'[2]SR12E&amp;SR7_Card Expansion'!D:D)+SUMIF('[2]IXR Card Expansion'!A:A,A56,'[2]IXR Card Expansion'!D:D)+SUMIF([2]PREAGG_v2_SR7B!A:A,A56,[2]PREAGG_v2_SR7B!D:D)+SUMIF([2]PREAGG_IXR_R6v2!A:A,A56,[2]PREAGG_IXR_R6v2!D:D)+SUMIF([2]CSG_V1!A:A,A56,[2]CSG_V1!D:D)+SUMIF([2]ESA!A:A,A56,[2]ESA!D:D)+SUMIF([2]Accessories!A:A,A56,[2]Accessories!D:D)</f>
        <v>#VALUE!</v>
      </c>
      <c r="D56" s="165"/>
      <c r="E56" s="52" t="s">
        <v>277</v>
      </c>
      <c r="F56" s="14" t="s">
        <v>278</v>
      </c>
      <c r="G56" s="73">
        <v>1</v>
      </c>
      <c r="H56" s="176"/>
      <c r="I56" t="e">
        <f>C56*G56</f>
        <v>#VALUE!</v>
      </c>
      <c r="J56" s="66"/>
      <c r="K56" s="67"/>
      <c r="L56" s="67"/>
    </row>
    <row r="57" spans="1:12" ht="15" customHeight="1">
      <c r="A57" s="183"/>
      <c r="B57" s="174"/>
      <c r="C57" s="166"/>
      <c r="D57" s="166"/>
      <c r="E57" s="52" t="s">
        <v>221</v>
      </c>
      <c r="F57" s="14" t="s">
        <v>222</v>
      </c>
      <c r="G57" s="73">
        <v>2</v>
      </c>
      <c r="H57" s="177"/>
      <c r="I57" t="e">
        <f>C56*G57</f>
        <v>#VALUE!</v>
      </c>
      <c r="J57" s="66"/>
      <c r="K57" s="67"/>
      <c r="L57" s="67"/>
    </row>
    <row r="58" spans="1:12" ht="30">
      <c r="A58" s="183"/>
      <c r="B58" s="175"/>
      <c r="C58" s="167"/>
      <c r="D58" s="167"/>
      <c r="E58" s="52" t="s">
        <v>279</v>
      </c>
      <c r="F58" s="14" t="s">
        <v>280</v>
      </c>
      <c r="G58" s="73">
        <v>1</v>
      </c>
      <c r="H58" s="178"/>
      <c r="I58" t="e">
        <f>C56*G58</f>
        <v>#VALUE!</v>
      </c>
      <c r="J58" s="66"/>
      <c r="K58" s="67"/>
      <c r="L58" s="67"/>
    </row>
    <row r="59" spans="1:12">
      <c r="A59" s="149" t="s">
        <v>281</v>
      </c>
      <c r="B59" s="150" t="s">
        <v>282</v>
      </c>
      <c r="C59" s="153" t="e">
        <f>SUMIF('[2]AGGREGATION to PREAGG_Migration'!A:A,A59,'[2]AGGREGATION to PREAGG_Migration'!D:D)+SUMIF('[2]SR12E&amp;SR7_Card Expansion'!A:A,A59,'[2]SR12E&amp;SR7_Card Expansion'!D:D)+SUMIF('[2]IXR Card Expansion'!A:A,A59,'[2]IXR Card Expansion'!D:D)+SUMIF([2]PREAGG_v2_SR7B!A:A,A59,[2]PREAGG_v2_SR7B!D:D)+SUMIF([2]PREAGG_IXR_R6v2!A:A,A59,[2]PREAGG_IXR_R6v2!D:D)+SUMIF([2]CSG_V1!A:A,A59,[2]CSG_V1!D:D)+SUMIF([2]ESA!A:A,A59,[2]ESA!D:D)+SUMIF([2]Accessories!A:A,A59,[2]Accessories!D:D)</f>
        <v>#VALUE!</v>
      </c>
      <c r="D59" s="153"/>
      <c r="E59" s="34" t="s">
        <v>283</v>
      </c>
      <c r="F59" s="46" t="s">
        <v>284</v>
      </c>
      <c r="G59" s="77">
        <v>1</v>
      </c>
      <c r="H59" s="156"/>
      <c r="I59" t="e">
        <f>C59*G59</f>
        <v>#VALUE!</v>
      </c>
      <c r="J59" s="66"/>
      <c r="K59" s="67"/>
      <c r="L59" s="67"/>
    </row>
    <row r="60" spans="1:12" ht="30">
      <c r="A60" s="149"/>
      <c r="B60" s="151"/>
      <c r="C60" s="154"/>
      <c r="D60" s="154"/>
      <c r="E60" s="34" t="s">
        <v>221</v>
      </c>
      <c r="F60" s="46" t="s">
        <v>222</v>
      </c>
      <c r="G60" s="77">
        <v>6</v>
      </c>
      <c r="H60" s="157"/>
      <c r="I60" t="e">
        <f>C59*G60</f>
        <v>#VALUE!</v>
      </c>
      <c r="J60" s="66"/>
      <c r="K60" s="67"/>
      <c r="L60" s="67"/>
    </row>
    <row r="61" spans="1:12" ht="15" customHeight="1">
      <c r="A61" s="149"/>
      <c r="B61" s="151"/>
      <c r="C61" s="154"/>
      <c r="D61" s="154"/>
      <c r="E61" s="34" t="s">
        <v>238</v>
      </c>
      <c r="F61" s="46" t="s">
        <v>239</v>
      </c>
      <c r="G61" s="77">
        <v>8</v>
      </c>
      <c r="H61" s="157"/>
      <c r="I61" t="e">
        <f>C59*G61</f>
        <v>#VALUE!</v>
      </c>
      <c r="J61" s="66"/>
      <c r="K61" s="67"/>
      <c r="L61" s="67"/>
    </row>
    <row r="62" spans="1:12" ht="30">
      <c r="A62" s="149"/>
      <c r="B62" s="152"/>
      <c r="C62" s="155"/>
      <c r="D62" s="155"/>
      <c r="E62" s="34" t="s">
        <v>240</v>
      </c>
      <c r="F62" s="46" t="s">
        <v>241</v>
      </c>
      <c r="G62" s="77">
        <v>4</v>
      </c>
      <c r="H62" s="158"/>
      <c r="I62" t="e">
        <f>C59*G62</f>
        <v>#VALUE!</v>
      </c>
      <c r="J62" s="66"/>
      <c r="K62" s="67"/>
      <c r="L62" s="67"/>
    </row>
    <row r="63" spans="1:12">
      <c r="A63" s="195" t="s">
        <v>285</v>
      </c>
      <c r="B63" s="174" t="s">
        <v>286</v>
      </c>
      <c r="C63" s="165" t="e">
        <f>SUMIF('[2]AGGREGATION to PREAGG_Migration'!A:A,A63,'[2]AGGREGATION to PREAGG_Migration'!D:D)+SUMIF('[2]SR12E&amp;SR7_Card Expansion'!A:A,A63,'[2]SR12E&amp;SR7_Card Expansion'!D:D)+SUMIF('[2]IXR Card Expansion'!A:A,A63,'[2]IXR Card Expansion'!D:D)+SUMIF([2]PREAGG_v2_SR7B!A:A,A63,[2]PREAGG_v2_SR7B!D:D)+SUMIF([2]PREAGG_IXR_R6v2!A:A,A63,[2]PREAGG_IXR_R6v2!D:D)+SUMIF([2]CSG_V1!A:A,A63,[2]CSG_V1!D:D)+SUMIF([2]ESA!A:A,A63,[2]ESA!D:D)+SUMIF([2]Accessories!A:A,A63,[2]Accessories!D:D)</f>
        <v>#VALUE!</v>
      </c>
      <c r="D63" s="165"/>
      <c r="E63" s="52" t="s">
        <v>287</v>
      </c>
      <c r="F63" s="14" t="s">
        <v>288</v>
      </c>
      <c r="G63" s="73">
        <v>2</v>
      </c>
      <c r="H63" s="176"/>
      <c r="I63" t="e">
        <f>C63*G63</f>
        <v>#VALUE!</v>
      </c>
      <c r="J63" s="66"/>
      <c r="K63" s="67"/>
      <c r="L63" s="67"/>
    </row>
    <row r="64" spans="1:12" ht="15" customHeight="1">
      <c r="A64" s="172"/>
      <c r="B64" s="174"/>
      <c r="C64" s="166"/>
      <c r="D64" s="166"/>
      <c r="E64" s="52" t="s">
        <v>283</v>
      </c>
      <c r="F64" s="14" t="s">
        <v>284</v>
      </c>
      <c r="G64" s="73">
        <v>1</v>
      </c>
      <c r="H64" s="177"/>
      <c r="I64" t="e">
        <f>C63*G64</f>
        <v>#VALUE!</v>
      </c>
      <c r="J64" s="66"/>
      <c r="K64" s="67"/>
      <c r="L64" s="67"/>
    </row>
    <row r="65" spans="1:12" ht="30">
      <c r="A65" s="172"/>
      <c r="B65" s="174"/>
      <c r="C65" s="166"/>
      <c r="D65" s="166"/>
      <c r="E65" s="52" t="s">
        <v>219</v>
      </c>
      <c r="F65" s="14" t="s">
        <v>220</v>
      </c>
      <c r="G65" s="73">
        <v>2</v>
      </c>
      <c r="H65" s="177"/>
      <c r="I65" t="e">
        <f>C63*G65</f>
        <v>#VALUE!</v>
      </c>
      <c r="J65" s="66"/>
      <c r="K65" s="67"/>
      <c r="L65" s="67"/>
    </row>
    <row r="66" spans="1:12" ht="30">
      <c r="A66" s="172"/>
      <c r="B66" s="174"/>
      <c r="C66" s="166"/>
      <c r="D66" s="166"/>
      <c r="E66" s="52" t="s">
        <v>238</v>
      </c>
      <c r="F66" s="14" t="s">
        <v>239</v>
      </c>
      <c r="G66" s="73">
        <v>7</v>
      </c>
      <c r="H66" s="177"/>
      <c r="I66" t="e">
        <f>C63*G66</f>
        <v>#VALUE!</v>
      </c>
      <c r="J66" s="66"/>
      <c r="K66" s="67"/>
      <c r="L66" s="67"/>
    </row>
    <row r="67" spans="1:12" ht="51.95" customHeight="1">
      <c r="A67" s="179"/>
      <c r="B67" s="175"/>
      <c r="C67" s="167"/>
      <c r="D67" s="167"/>
      <c r="E67" s="52" t="s">
        <v>240</v>
      </c>
      <c r="F67" s="14" t="s">
        <v>241</v>
      </c>
      <c r="G67" s="73">
        <v>3</v>
      </c>
      <c r="H67" s="178"/>
      <c r="I67" t="e">
        <f>C63*G67</f>
        <v>#VALUE!</v>
      </c>
      <c r="J67" s="66"/>
      <c r="K67" s="67"/>
      <c r="L67" s="67"/>
    </row>
    <row r="68" spans="1:12" ht="15" customHeight="1">
      <c r="A68" s="20" t="s">
        <v>271</v>
      </c>
      <c r="B68" s="25" t="s">
        <v>272</v>
      </c>
      <c r="C68" s="10" t="e">
        <f>SUMIF('[2]AGGREGATION to PREAGG_Migration'!A:A,A68,'[2]AGGREGATION to PREAGG_Migration'!D:D)+SUMIF('[2]SR12E&amp;SR7_Card Expansion'!A:A,A68,'[2]SR12E&amp;SR7_Card Expansion'!D:D)+SUMIF('[2]IXR Card Expansion'!A:A,A68,'[2]IXR Card Expansion'!D:D)+SUMIF([2]PREAGG_v2_SR7B!A:A,A68,[2]PREAGG_v2_SR7B!D:D)+SUMIF([2]PREAGG_IXR_R6v2!A:A,A68,[2]PREAGG_IXR_R6v2!D:D)+SUMIF([2]CSG_V1!A:A,A68,[2]CSG_V1!D:D)+SUMIF([2]ESA!A:A,A68,[2]ESA!D:D)+SUMIF([2]Accessories!A:A,A68,[2]Accessories!D:D)</f>
        <v>#VALUE!</v>
      </c>
      <c r="D68" s="10"/>
      <c r="E68" s="32" t="s">
        <v>271</v>
      </c>
      <c r="F68" s="46" t="s">
        <v>272</v>
      </c>
      <c r="G68" s="77">
        <v>1</v>
      </c>
      <c r="H68" s="79"/>
      <c r="I68" s="6" t="e">
        <f>C68*G68</f>
        <v>#VALUE!</v>
      </c>
      <c r="J68" s="66"/>
      <c r="K68" s="67"/>
      <c r="L68" s="67"/>
    </row>
    <row r="69" spans="1:12">
      <c r="A69" s="18" t="s">
        <v>289</v>
      </c>
      <c r="B69" s="24" t="s">
        <v>290</v>
      </c>
      <c r="C69" s="10" t="e">
        <f>SUMIF('[2]AGGREGATION to PREAGG_Migration'!A:A,A69,'[2]AGGREGATION to PREAGG_Migration'!D:D)+SUMIF('[2]SR12E&amp;SR7_Card Expansion'!A:A,A69,'[2]SR12E&amp;SR7_Card Expansion'!D:D)+SUMIF('[2]IXR Card Expansion'!A:A,A69,'[2]IXR Card Expansion'!D:D)+SUMIF([2]PREAGG_v2_SR7B!A:A,A69,[2]PREAGG_v2_SR7B!D:D)+SUMIF([2]PREAGG_IXR_R6v2!A:A,A69,[2]PREAGG_IXR_R6v2!D:D)+SUMIF([2]CSG_V1!A:A,A69,[2]CSG_V1!D:D)+SUMIF([2]ESA!A:A,A69,[2]ESA!D:D)+SUMIF([2]Accessories!A:A,A69,[2]Accessories!D:D)</f>
        <v>#VALUE!</v>
      </c>
      <c r="D69" s="9"/>
      <c r="E69" s="30" t="s">
        <v>289</v>
      </c>
      <c r="F69" s="14" t="s">
        <v>290</v>
      </c>
      <c r="G69" s="73">
        <v>1</v>
      </c>
      <c r="H69" s="79"/>
      <c r="I69" s="6" t="e">
        <f t="shared" ref="I69:I76" si="1">C69*G69</f>
        <v>#VALUE!</v>
      </c>
      <c r="J69" s="66"/>
      <c r="K69" s="67"/>
      <c r="L69" s="67"/>
    </row>
    <row r="70" spans="1:12">
      <c r="A70" s="20" t="s">
        <v>291</v>
      </c>
      <c r="B70" s="25" t="s">
        <v>292</v>
      </c>
      <c r="C70" s="10" t="e">
        <f>SUMIF('[2]AGGREGATION to PREAGG_Migration'!A:A,A70,'[2]AGGREGATION to PREAGG_Migration'!D:D)+SUMIF('[2]SR12E&amp;SR7_Card Expansion'!A:A,A70,'[2]SR12E&amp;SR7_Card Expansion'!D:D)+SUMIF('[2]IXR Card Expansion'!A:A,A70,'[2]IXR Card Expansion'!D:D)+SUMIF([2]PREAGG_v2_SR7B!A:A,A70,[2]PREAGG_v2_SR7B!D:D)+SUMIF([2]PREAGG_IXR_R6v2!A:A,A70,[2]PREAGG_IXR_R6v2!D:D)+SUMIF([2]CSG_V1!A:A,A70,[2]CSG_V1!D:D)+SUMIF([2]ESA!A:A,A70,[2]ESA!D:D)+SUMIF([2]Accessories!A:A,A70,[2]Accessories!D:D)</f>
        <v>#VALUE!</v>
      </c>
      <c r="D70" s="10"/>
      <c r="E70" s="32" t="s">
        <v>291</v>
      </c>
      <c r="F70" s="46" t="s">
        <v>292</v>
      </c>
      <c r="G70" s="77">
        <v>1</v>
      </c>
      <c r="H70" s="79"/>
      <c r="I70" s="6" t="e">
        <f t="shared" si="1"/>
        <v>#VALUE!</v>
      </c>
      <c r="J70" s="66"/>
      <c r="K70" s="67"/>
      <c r="L70" s="67"/>
    </row>
    <row r="71" spans="1:12">
      <c r="A71" s="18" t="s">
        <v>273</v>
      </c>
      <c r="B71" s="24" t="s">
        <v>274</v>
      </c>
      <c r="C71" s="10" t="e">
        <f>SUMIF('[2]AGGREGATION to PREAGG_Migration'!A:A,A71,'[2]AGGREGATION to PREAGG_Migration'!D:D)+SUMIF('[2]SR12E&amp;SR7_Card Expansion'!A:A,A71,'[2]SR12E&amp;SR7_Card Expansion'!D:D)+SUMIF('[2]IXR Card Expansion'!A:A,A71,'[2]IXR Card Expansion'!D:D)+SUMIF([2]PREAGG_v2_SR7B!A:A,A71,[2]PREAGG_v2_SR7B!D:D)+SUMIF([2]PREAGG_IXR_R6v2!A:A,A71,[2]PREAGG_IXR_R6v2!D:D)+SUMIF([2]CSG_V1!A:A,A71,[2]CSG_V1!D:D)+SUMIF([2]ESA!A:A,A71,[2]ESA!D:D)+SUMIF([2]Accessories!A:A,A71,[2]Accessories!D:D)</f>
        <v>#VALUE!</v>
      </c>
      <c r="D71" s="9"/>
      <c r="E71" s="30" t="s">
        <v>273</v>
      </c>
      <c r="F71" s="14" t="s">
        <v>274</v>
      </c>
      <c r="G71" s="73">
        <v>1</v>
      </c>
      <c r="H71" s="79"/>
      <c r="I71" s="6" t="e">
        <f t="shared" si="1"/>
        <v>#VALUE!</v>
      </c>
      <c r="J71" s="66"/>
      <c r="K71" s="67"/>
      <c r="L71" s="67"/>
    </row>
    <row r="72" spans="1:12" ht="57" customHeight="1">
      <c r="A72" s="20" t="s">
        <v>287</v>
      </c>
      <c r="B72" s="25" t="s">
        <v>288</v>
      </c>
      <c r="C72" s="10" t="e">
        <f>SUMIF('[2]AGGREGATION to PREAGG_Migration'!A:A,A72,'[2]AGGREGATION to PREAGG_Migration'!D:D)+SUMIF('[2]SR12E&amp;SR7_Card Expansion'!A:A,A72,'[2]SR12E&amp;SR7_Card Expansion'!D:D)+SUMIF('[2]IXR Card Expansion'!A:A,A72,'[2]IXR Card Expansion'!D:D)+SUMIF([2]PREAGG_v2_SR7B!A:A,A72,[2]PREAGG_v2_SR7B!D:D)+SUMIF([2]PREAGG_IXR_R6v2!A:A,A72,[2]PREAGG_IXR_R6v2!D:D)+SUMIF([2]CSG_V1!A:A,A72,[2]CSG_V1!D:D)+SUMIF([2]ESA!A:A,A72,[2]ESA!D:D)+SUMIF([2]Accessories!A:A,A72,[2]Accessories!D:D)</f>
        <v>#VALUE!</v>
      </c>
      <c r="D72" s="10"/>
      <c r="E72" s="32" t="s">
        <v>287</v>
      </c>
      <c r="F72" s="46" t="s">
        <v>288</v>
      </c>
      <c r="G72" s="77">
        <v>1</v>
      </c>
      <c r="H72" s="79"/>
      <c r="I72" s="6" t="e">
        <f t="shared" si="1"/>
        <v>#VALUE!</v>
      </c>
      <c r="J72" s="66"/>
      <c r="K72" s="67"/>
      <c r="L72" s="67"/>
    </row>
    <row r="73" spans="1:12" s="6" customFormat="1">
      <c r="A73" s="18" t="s">
        <v>283</v>
      </c>
      <c r="B73" s="24" t="s">
        <v>284</v>
      </c>
      <c r="C73" s="10" t="e">
        <f>SUMIF('[2]AGGREGATION to PREAGG_Migration'!A:A,A73,'[2]AGGREGATION to PREAGG_Migration'!D:D)+SUMIF('[2]SR12E&amp;SR7_Card Expansion'!A:A,A73,'[2]SR12E&amp;SR7_Card Expansion'!D:D)+SUMIF('[2]IXR Card Expansion'!A:A,A73,'[2]IXR Card Expansion'!D:D)+SUMIF([2]PREAGG_v2_SR7B!A:A,A73,[2]PREAGG_v2_SR7B!D:D)+SUMIF([2]PREAGG_IXR_R6v2!A:A,A73,[2]PREAGG_IXR_R6v2!D:D)+SUMIF([2]CSG_V1!A:A,A73,[2]CSG_V1!D:D)+SUMIF([2]ESA!A:A,A73,[2]ESA!D:D)+SUMIF([2]Accessories!A:A,A73,[2]Accessories!D:D)</f>
        <v>#VALUE!</v>
      </c>
      <c r="D73" s="9"/>
      <c r="E73" s="30" t="s">
        <v>283</v>
      </c>
      <c r="F73" s="14" t="s">
        <v>284</v>
      </c>
      <c r="G73" s="73">
        <v>1</v>
      </c>
      <c r="H73" s="79"/>
      <c r="I73" s="6" t="e">
        <f t="shared" si="1"/>
        <v>#VALUE!</v>
      </c>
      <c r="J73" s="66"/>
      <c r="K73" s="67"/>
      <c r="L73" s="67"/>
    </row>
    <row r="74" spans="1:12" s="6" customFormat="1">
      <c r="A74" s="20" t="s">
        <v>277</v>
      </c>
      <c r="B74" s="25" t="s">
        <v>278</v>
      </c>
      <c r="C74" s="10" t="e">
        <f>SUMIF('[2]AGGREGATION to PREAGG_Migration'!A:A,A74,'[2]AGGREGATION to PREAGG_Migration'!D:D)+SUMIF('[2]SR12E&amp;SR7_Card Expansion'!A:A,A74,'[2]SR12E&amp;SR7_Card Expansion'!D:D)+SUMIF('[2]IXR Card Expansion'!A:A,A74,'[2]IXR Card Expansion'!D:D)+SUMIF([2]PREAGG_v2_SR7B!A:A,A74,[2]PREAGG_v2_SR7B!D:D)+SUMIF([2]PREAGG_IXR_R6v2!A:A,A74,[2]PREAGG_IXR_R6v2!D:D)+SUMIF([2]CSG_V1!A:A,A74,[2]CSG_V1!D:D)+SUMIF([2]ESA!A:A,A74,[2]ESA!D:D)+SUMIF([2]Accessories!A:A,A74,[2]Accessories!D:D)</f>
        <v>#VALUE!</v>
      </c>
      <c r="D74" s="10"/>
      <c r="E74" s="32" t="s">
        <v>277</v>
      </c>
      <c r="F74" s="46" t="s">
        <v>278</v>
      </c>
      <c r="G74" s="77">
        <v>1</v>
      </c>
      <c r="H74" s="79"/>
      <c r="I74" s="6" t="e">
        <f t="shared" si="1"/>
        <v>#VALUE!</v>
      </c>
      <c r="J74" s="66"/>
      <c r="K74" s="67"/>
      <c r="L74" s="67"/>
    </row>
    <row r="75" spans="1:12" s="6" customFormat="1">
      <c r="A75" s="18" t="s">
        <v>293</v>
      </c>
      <c r="B75" s="18" t="s">
        <v>294</v>
      </c>
      <c r="C75" s="10" t="e">
        <f>SUMIF('[2]AGGREGATION to PREAGG_Migration'!A:A,A75,'[2]AGGREGATION to PREAGG_Migration'!D:D)+SUMIF('[2]SR12E&amp;SR7_Card Expansion'!A:A,A75,'[2]SR12E&amp;SR7_Card Expansion'!D:D)+SUMIF('[2]IXR Card Expansion'!A:A,A75,'[2]IXR Card Expansion'!D:D)+SUMIF([2]PREAGG_v2_SR7B!A:A,A75,[2]PREAGG_v2_SR7B!D:D)+SUMIF([2]PREAGG_IXR_R6v2!A:A,A75,[2]PREAGG_IXR_R6v2!D:D)+SUMIF([2]CSG_V1!A:A,A75,[2]CSG_V1!D:D)+SUMIF([2]ESA!A:A,A75,[2]ESA!D:D)+SUMIF([2]Accessories!A:A,A75,[2]Accessories!D:D)</f>
        <v>#VALUE!</v>
      </c>
      <c r="D75" s="18"/>
      <c r="E75" s="18" t="s">
        <v>293</v>
      </c>
      <c r="F75" s="18" t="s">
        <v>294</v>
      </c>
      <c r="G75" s="73" t="s">
        <v>295</v>
      </c>
      <c r="H75" s="79"/>
      <c r="I75" s="6" t="e">
        <f t="shared" si="1"/>
        <v>#VALUE!</v>
      </c>
      <c r="J75" s="66"/>
      <c r="K75" s="67"/>
      <c r="L75" s="67"/>
    </row>
    <row r="76" spans="1:12" s="6" customFormat="1">
      <c r="A76" s="20" t="s">
        <v>296</v>
      </c>
      <c r="B76" s="20" t="s">
        <v>297</v>
      </c>
      <c r="C76" s="10" t="e">
        <f>SUMIF('[2]AGGREGATION to PREAGG_Migration'!A:A,A76,'[2]AGGREGATION to PREAGG_Migration'!D:D)+SUMIF('[2]SR12E&amp;SR7_Card Expansion'!A:A,A76,'[2]SR12E&amp;SR7_Card Expansion'!D:D)+SUMIF('[2]IXR Card Expansion'!A:A,A76,'[2]IXR Card Expansion'!D:D)+SUMIF([2]PREAGG_v2_SR7B!A:A,A76,[2]PREAGG_v2_SR7B!D:D)+SUMIF([2]PREAGG_IXR_R6v2!A:A,A76,[2]PREAGG_IXR_R6v2!D:D)+SUMIF([2]CSG_V1!A:A,A76,[2]CSG_V1!D:D)+SUMIF([2]ESA!A:A,A76,[2]ESA!D:D)+SUMIF([2]Accessories!A:A,A76,[2]Accessories!D:D)</f>
        <v>#VALUE!</v>
      </c>
      <c r="D76" s="20"/>
      <c r="E76" s="20" t="s">
        <v>296</v>
      </c>
      <c r="F76" s="20" t="s">
        <v>297</v>
      </c>
      <c r="G76" s="83">
        <v>1</v>
      </c>
      <c r="H76" s="79"/>
      <c r="I76" s="6" t="e">
        <f t="shared" si="1"/>
        <v>#VALUE!</v>
      </c>
      <c r="J76" s="66"/>
      <c r="K76" s="67"/>
      <c r="L76" s="67"/>
    </row>
    <row r="77" spans="1:12" s="6" customFormat="1">
      <c r="A77" s="149" t="s">
        <v>298</v>
      </c>
      <c r="B77" s="150" t="s">
        <v>299</v>
      </c>
      <c r="C77" s="153" t="e">
        <f>SUMIF('[2]AGGREGATION to PREAGG_Migration'!A:A,A77,'[2]AGGREGATION to PREAGG_Migration'!D:D)+SUMIF('[2]SR12E&amp;SR7_Card Expansion'!A:A,A77,'[2]SR12E&amp;SR7_Card Expansion'!D:D)+SUMIF('[2]IXR Card Expansion'!A:A,A77,'[2]IXR Card Expansion'!D:D)+SUMIF([2]PREAGG_v2_SR7B!A:A,A77,[2]PREAGG_v2_SR7B!D:D)+SUMIF([2]PREAGG_IXR_R6v2!A:A,A77,[2]PREAGG_IXR_R6v2!D:D)+SUMIF([2]CSG_V1!A:A,A77,[2]CSG_V1!D:D)+SUMIF([2]ESA!A:A,A77,[2]ESA!D:D)+SUMIF([2]Accessories!A:A,A77,[2]Accessories!D:D)</f>
        <v>#VALUE!</v>
      </c>
      <c r="D77" s="153"/>
      <c r="E77" s="34" t="s">
        <v>300</v>
      </c>
      <c r="F77" s="46" t="s">
        <v>301</v>
      </c>
      <c r="G77" s="77">
        <v>1</v>
      </c>
      <c r="H77" s="156"/>
      <c r="I77" s="6" t="e">
        <f>$C$77*G77</f>
        <v>#VALUE!</v>
      </c>
      <c r="J77" s="66"/>
      <c r="K77" s="67"/>
      <c r="L77" s="67"/>
    </row>
    <row r="78" spans="1:12" s="6" customFormat="1">
      <c r="A78" s="149"/>
      <c r="B78" s="151"/>
      <c r="C78" s="154"/>
      <c r="D78" s="154"/>
      <c r="E78" s="34" t="s">
        <v>302</v>
      </c>
      <c r="F78" s="46" t="s">
        <v>303</v>
      </c>
      <c r="G78" s="77">
        <v>1</v>
      </c>
      <c r="H78" s="157"/>
      <c r="I78" s="6" t="e">
        <f t="shared" ref="I78:I89" si="2">$C$77*G78</f>
        <v>#VALUE!</v>
      </c>
      <c r="J78" s="66"/>
      <c r="K78" s="67"/>
      <c r="L78" s="67"/>
    </row>
    <row r="79" spans="1:12" s="6" customFormat="1">
      <c r="A79" s="149"/>
      <c r="B79" s="151"/>
      <c r="C79" s="154"/>
      <c r="D79" s="154"/>
      <c r="E79" s="34" t="s">
        <v>304</v>
      </c>
      <c r="F79" s="46" t="s">
        <v>305</v>
      </c>
      <c r="G79" s="77">
        <v>2</v>
      </c>
      <c r="H79" s="157"/>
      <c r="I79" s="6" t="e">
        <f t="shared" si="2"/>
        <v>#VALUE!</v>
      </c>
      <c r="J79" s="66"/>
      <c r="K79" s="67"/>
      <c r="L79" s="67"/>
    </row>
    <row r="80" spans="1:12" s="6" customFormat="1">
      <c r="A80" s="149"/>
      <c r="B80" s="151"/>
      <c r="C80" s="154"/>
      <c r="D80" s="154"/>
      <c r="E80" s="34" t="s">
        <v>306</v>
      </c>
      <c r="F80" s="46" t="s">
        <v>307</v>
      </c>
      <c r="G80" s="77">
        <v>1</v>
      </c>
      <c r="H80" s="157"/>
      <c r="I80" s="6" t="e">
        <f t="shared" si="2"/>
        <v>#VALUE!</v>
      </c>
      <c r="J80" s="66"/>
      <c r="K80" s="67"/>
      <c r="L80" s="67"/>
    </row>
    <row r="81" spans="1:12" s="6" customFormat="1">
      <c r="A81" s="149"/>
      <c r="B81" s="151"/>
      <c r="C81" s="154"/>
      <c r="D81" s="154"/>
      <c r="E81" s="34" t="s">
        <v>308</v>
      </c>
      <c r="F81" s="46" t="s">
        <v>309</v>
      </c>
      <c r="G81" s="77">
        <v>2</v>
      </c>
      <c r="H81" s="157"/>
      <c r="I81" s="6" t="e">
        <f t="shared" si="2"/>
        <v>#VALUE!</v>
      </c>
      <c r="J81" s="66"/>
      <c r="K81" s="67"/>
      <c r="L81" s="67"/>
    </row>
    <row r="82" spans="1:12">
      <c r="A82" s="149"/>
      <c r="B82" s="151"/>
      <c r="C82" s="154"/>
      <c r="D82" s="154"/>
      <c r="E82" s="34" t="s">
        <v>310</v>
      </c>
      <c r="F82" s="34" t="s">
        <v>311</v>
      </c>
      <c r="G82" s="77">
        <v>1</v>
      </c>
      <c r="H82" s="157"/>
      <c r="I82" s="6" t="e">
        <f t="shared" si="2"/>
        <v>#VALUE!</v>
      </c>
      <c r="J82" s="66"/>
      <c r="K82" s="67"/>
      <c r="L82" s="67"/>
    </row>
    <row r="83" spans="1:12" s="6" customFormat="1" ht="15" customHeight="1">
      <c r="A83" s="149"/>
      <c r="B83" s="151"/>
      <c r="C83" s="154"/>
      <c r="D83" s="154"/>
      <c r="E83" s="34" t="s">
        <v>312</v>
      </c>
      <c r="F83" s="46" t="s">
        <v>313</v>
      </c>
      <c r="G83" s="77">
        <v>2</v>
      </c>
      <c r="H83" s="157"/>
      <c r="I83" s="6" t="e">
        <f t="shared" si="2"/>
        <v>#VALUE!</v>
      </c>
      <c r="J83" s="66"/>
      <c r="K83" s="67"/>
      <c r="L83" s="67"/>
    </row>
    <row r="84" spans="1:12" s="6" customFormat="1" ht="30">
      <c r="A84" s="149"/>
      <c r="B84" s="151"/>
      <c r="C84" s="154"/>
      <c r="D84" s="154"/>
      <c r="E84" s="34" t="s">
        <v>219</v>
      </c>
      <c r="F84" s="46" t="s">
        <v>220</v>
      </c>
      <c r="G84" s="77">
        <v>2</v>
      </c>
      <c r="H84" s="157"/>
      <c r="I84" s="6" t="e">
        <f t="shared" si="2"/>
        <v>#VALUE!</v>
      </c>
      <c r="J84" s="66"/>
      <c r="K84" s="67"/>
      <c r="L84" s="67"/>
    </row>
    <row r="85" spans="1:12" s="6" customFormat="1" ht="30">
      <c r="A85" s="149"/>
      <c r="B85" s="151"/>
      <c r="C85" s="154"/>
      <c r="D85" s="154"/>
      <c r="E85" s="34" t="s">
        <v>238</v>
      </c>
      <c r="F85" s="46" t="s">
        <v>239</v>
      </c>
      <c r="G85" s="77">
        <v>3</v>
      </c>
      <c r="H85" s="157"/>
      <c r="I85" s="6" t="e">
        <f t="shared" si="2"/>
        <v>#VALUE!</v>
      </c>
      <c r="J85" s="66"/>
      <c r="K85" s="67"/>
      <c r="L85" s="67"/>
    </row>
    <row r="86" spans="1:12" s="6" customFormat="1" ht="30">
      <c r="A86" s="149"/>
      <c r="B86" s="151"/>
      <c r="C86" s="154"/>
      <c r="D86" s="154"/>
      <c r="E86" s="34" t="s">
        <v>240</v>
      </c>
      <c r="F86" s="46" t="s">
        <v>241</v>
      </c>
      <c r="G86" s="77">
        <v>2</v>
      </c>
      <c r="H86" s="157"/>
      <c r="I86" s="6" t="e">
        <f t="shared" si="2"/>
        <v>#VALUE!</v>
      </c>
      <c r="J86" s="66"/>
      <c r="K86" s="67"/>
      <c r="L86" s="67"/>
    </row>
    <row r="87" spans="1:12" s="6" customFormat="1" ht="30">
      <c r="A87" s="149"/>
      <c r="B87" s="151"/>
      <c r="C87" s="154"/>
      <c r="D87" s="154"/>
      <c r="E87" s="34" t="s">
        <v>314</v>
      </c>
      <c r="F87" s="46" t="s">
        <v>315</v>
      </c>
      <c r="G87" s="77">
        <v>16</v>
      </c>
      <c r="H87" s="157"/>
      <c r="I87" s="6" t="e">
        <f t="shared" si="2"/>
        <v>#VALUE!</v>
      </c>
      <c r="J87" s="66"/>
      <c r="K87" s="67"/>
      <c r="L87" s="67"/>
    </row>
    <row r="88" spans="1:12" s="6" customFormat="1" ht="30">
      <c r="A88" s="149"/>
      <c r="B88" s="151"/>
      <c r="C88" s="154"/>
      <c r="D88" s="154"/>
      <c r="E88" s="34" t="s">
        <v>316</v>
      </c>
      <c r="F88" s="46" t="s">
        <v>317</v>
      </c>
      <c r="G88" s="77">
        <v>4</v>
      </c>
      <c r="H88" s="157"/>
      <c r="I88" s="6" t="e">
        <f t="shared" si="2"/>
        <v>#VALUE!</v>
      </c>
      <c r="J88" s="66"/>
      <c r="K88" s="66"/>
      <c r="L88" s="67"/>
    </row>
    <row r="89" spans="1:12" s="6" customFormat="1" ht="30">
      <c r="A89" s="149"/>
      <c r="B89" s="152"/>
      <c r="C89" s="155"/>
      <c r="D89" s="155"/>
      <c r="E89" s="34" t="s">
        <v>318</v>
      </c>
      <c r="F89" s="46" t="s">
        <v>319</v>
      </c>
      <c r="G89" s="77">
        <v>2</v>
      </c>
      <c r="H89" s="158"/>
      <c r="I89" s="6" t="e">
        <f t="shared" si="2"/>
        <v>#VALUE!</v>
      </c>
      <c r="J89" s="66"/>
      <c r="K89" s="66"/>
      <c r="L89" s="67"/>
    </row>
    <row r="90" spans="1:12" s="6" customFormat="1">
      <c r="A90" s="183" t="s">
        <v>320</v>
      </c>
      <c r="B90" s="173" t="s">
        <v>321</v>
      </c>
      <c r="C90" s="165" t="e">
        <f>SUMIF('[2]AGGREGATION to PREAGG_Migration'!A:A,A90,'[2]AGGREGATION to PREAGG_Migration'!D:D)+SUMIF('[2]SR12E&amp;SR7_Card Expansion'!A:A,A90,'[2]SR12E&amp;SR7_Card Expansion'!D:D)+SUMIF('[2]IXR Card Expansion'!A:A,A90,'[2]IXR Card Expansion'!D:D)+SUMIF([2]PREAGG_v2_SR7B!A:A,A90,[2]PREAGG_v2_SR7B!D:D)+SUMIF([2]PREAGG_IXR_R6v2!A:A,A90,[2]PREAGG_IXR_R6v2!D:D)+SUMIF([2]CSG_V1!A:A,A90,[2]CSG_V1!D:D)+SUMIF([2]ESA!A:A,A90,[2]ESA!D:D)+SUMIF([2]Accessories!A:A,A90,[2]Accessories!D:D)</f>
        <v>#VALUE!</v>
      </c>
      <c r="D90" s="165"/>
      <c r="E90" s="52" t="s">
        <v>322</v>
      </c>
      <c r="F90" s="14" t="s">
        <v>323</v>
      </c>
      <c r="G90" s="73">
        <v>1</v>
      </c>
      <c r="H90" s="176"/>
      <c r="I90" s="6" t="e">
        <f>$C$90*G90</f>
        <v>#VALUE!</v>
      </c>
      <c r="J90" s="66"/>
      <c r="K90" s="67"/>
      <c r="L90" s="67"/>
    </row>
    <row r="91" spans="1:12" s="6" customFormat="1">
      <c r="A91" s="183"/>
      <c r="B91" s="174"/>
      <c r="C91" s="166"/>
      <c r="D91" s="166"/>
      <c r="E91" s="52" t="s">
        <v>324</v>
      </c>
      <c r="F91" s="14" t="s">
        <v>325</v>
      </c>
      <c r="G91" s="73">
        <v>1</v>
      </c>
      <c r="H91" s="177"/>
      <c r="I91" s="6" t="e">
        <f t="shared" ref="I91:I99" si="3">$C$90*G91</f>
        <v>#VALUE!</v>
      </c>
      <c r="J91" s="66"/>
      <c r="K91" s="67"/>
      <c r="L91" s="67"/>
    </row>
    <row r="92" spans="1:12" s="6" customFormat="1">
      <c r="A92" s="183"/>
      <c r="B92" s="174"/>
      <c r="C92" s="166"/>
      <c r="D92" s="166"/>
      <c r="E92" s="52" t="s">
        <v>326</v>
      </c>
      <c r="F92" s="14" t="s">
        <v>327</v>
      </c>
      <c r="G92" s="73">
        <v>4</v>
      </c>
      <c r="H92" s="177"/>
      <c r="I92" s="6" t="e">
        <f t="shared" si="3"/>
        <v>#VALUE!</v>
      </c>
      <c r="J92" s="66"/>
      <c r="K92" s="67"/>
      <c r="L92" s="67"/>
    </row>
    <row r="93" spans="1:12" s="6" customFormat="1">
      <c r="A93" s="183"/>
      <c r="B93" s="174"/>
      <c r="C93" s="166"/>
      <c r="D93" s="166"/>
      <c r="E93" s="52" t="s">
        <v>328</v>
      </c>
      <c r="F93" s="14" t="s">
        <v>329</v>
      </c>
      <c r="G93" s="73">
        <v>2</v>
      </c>
      <c r="H93" s="177"/>
      <c r="I93" s="6" t="e">
        <f t="shared" si="3"/>
        <v>#VALUE!</v>
      </c>
      <c r="J93" s="66"/>
      <c r="K93" s="67"/>
      <c r="L93" s="67"/>
    </row>
    <row r="94" spans="1:12" s="6" customFormat="1" ht="30">
      <c r="A94" s="183"/>
      <c r="B94" s="174"/>
      <c r="C94" s="166"/>
      <c r="D94" s="166"/>
      <c r="E94" s="52" t="s">
        <v>221</v>
      </c>
      <c r="F94" s="14" t="s">
        <v>222</v>
      </c>
      <c r="G94" s="73">
        <v>4</v>
      </c>
      <c r="H94" s="177"/>
      <c r="I94" s="6" t="e">
        <f t="shared" si="3"/>
        <v>#VALUE!</v>
      </c>
      <c r="J94" s="66"/>
      <c r="K94" s="67"/>
      <c r="L94" s="67"/>
    </row>
    <row r="95" spans="1:12" s="6" customFormat="1" ht="39.75" customHeight="1">
      <c r="A95" s="183"/>
      <c r="B95" s="174"/>
      <c r="C95" s="166"/>
      <c r="D95" s="166"/>
      <c r="E95" s="31" t="s">
        <v>238</v>
      </c>
      <c r="F95" s="14" t="s">
        <v>239</v>
      </c>
      <c r="G95" s="73">
        <v>3</v>
      </c>
      <c r="H95" s="177"/>
      <c r="I95" s="6" t="e">
        <f t="shared" si="3"/>
        <v>#VALUE!</v>
      </c>
      <c r="J95" s="66"/>
      <c r="K95" s="67"/>
      <c r="L95" s="67"/>
    </row>
    <row r="96" spans="1:12" s="6" customFormat="1" ht="15" customHeight="1">
      <c r="A96" s="183"/>
      <c r="B96" s="174"/>
      <c r="C96" s="166"/>
      <c r="D96" s="166"/>
      <c r="E96" s="31" t="s">
        <v>240</v>
      </c>
      <c r="F96" s="14" t="s">
        <v>241</v>
      </c>
      <c r="G96" s="73">
        <v>2</v>
      </c>
      <c r="H96" s="177"/>
      <c r="I96" s="6" t="e">
        <f t="shared" si="3"/>
        <v>#VALUE!</v>
      </c>
      <c r="J96" s="66"/>
      <c r="K96" s="67"/>
      <c r="L96" s="67"/>
    </row>
    <row r="97" spans="1:12" s="6" customFormat="1" ht="30">
      <c r="A97" s="183"/>
      <c r="B97" s="174"/>
      <c r="C97" s="166"/>
      <c r="D97" s="166"/>
      <c r="E97" s="52" t="s">
        <v>314</v>
      </c>
      <c r="F97" s="14" t="s">
        <v>315</v>
      </c>
      <c r="G97" s="73">
        <v>15</v>
      </c>
      <c r="H97" s="177"/>
      <c r="I97" s="6" t="e">
        <f t="shared" si="3"/>
        <v>#VALUE!</v>
      </c>
      <c r="J97" s="66"/>
      <c r="K97" s="67"/>
      <c r="L97" s="67"/>
    </row>
    <row r="98" spans="1:12" s="6" customFormat="1" ht="30">
      <c r="A98" s="183"/>
      <c r="B98" s="174"/>
      <c r="C98" s="166"/>
      <c r="D98" s="166"/>
      <c r="E98" s="52" t="s">
        <v>316</v>
      </c>
      <c r="F98" s="14" t="s">
        <v>317</v>
      </c>
      <c r="G98" s="73">
        <v>3</v>
      </c>
      <c r="H98" s="177"/>
      <c r="I98" s="6" t="e">
        <f t="shared" si="3"/>
        <v>#VALUE!</v>
      </c>
      <c r="J98" s="66"/>
      <c r="K98" s="67"/>
      <c r="L98" s="67"/>
    </row>
    <row r="99" spans="1:12" s="6" customFormat="1" ht="30">
      <c r="A99" s="183"/>
      <c r="B99" s="175"/>
      <c r="C99" s="167"/>
      <c r="D99" s="167"/>
      <c r="E99" s="52" t="s">
        <v>318</v>
      </c>
      <c r="F99" s="14" t="s">
        <v>319</v>
      </c>
      <c r="G99" s="73">
        <v>2</v>
      </c>
      <c r="H99" s="178"/>
      <c r="I99" s="6" t="e">
        <f t="shared" si="3"/>
        <v>#VALUE!</v>
      </c>
      <c r="J99" s="66"/>
      <c r="K99" s="67"/>
      <c r="L99" s="67"/>
    </row>
    <row r="100" spans="1:12" s="6" customFormat="1">
      <c r="A100" s="149" t="s">
        <v>330</v>
      </c>
      <c r="B100" s="150" t="s">
        <v>331</v>
      </c>
      <c r="C100" s="153" t="e">
        <f>SUMIF('[2]AGGREGATION to PREAGG_Migration'!A:A,A100,'[2]AGGREGATION to PREAGG_Migration'!D:D)+SUMIF('[2]SR12E&amp;SR7_Card Expansion'!A:A,A100,'[2]SR12E&amp;SR7_Card Expansion'!D:D)+SUMIF('[2]IXR Card Expansion'!A:A,A100,'[2]IXR Card Expansion'!D:D)+SUMIF([2]PREAGG_v2_SR7B!A:A,A100,[2]PREAGG_v2_SR7B!D:D)+SUMIF([2]PREAGG_IXR_R6v2!A:A,A100,[2]PREAGG_IXR_R6v2!D:D)+SUMIF([2]CSG_V1!A:A,A100,[2]CSG_V1!D:D)+SUMIF([2]ESA!A:A,A100,[2]ESA!D:D)+SUMIF([2]Accessories!A:A,A100,[2]Accessories!D:D)</f>
        <v>#VALUE!</v>
      </c>
      <c r="D100" s="153"/>
      <c r="E100" s="34" t="s">
        <v>322</v>
      </c>
      <c r="F100" s="46" t="s">
        <v>323</v>
      </c>
      <c r="G100" s="77">
        <v>1</v>
      </c>
      <c r="H100" s="156"/>
      <c r="I100" s="6" t="e">
        <f>$C$100*G100</f>
        <v>#VALUE!</v>
      </c>
      <c r="J100" s="66"/>
      <c r="K100" s="67"/>
      <c r="L100" s="67"/>
    </row>
    <row r="101" spans="1:12" s="6" customFormat="1">
      <c r="A101" s="149"/>
      <c r="B101" s="151"/>
      <c r="C101" s="154"/>
      <c r="D101" s="154"/>
      <c r="E101" s="34" t="s">
        <v>324</v>
      </c>
      <c r="F101" s="46" t="s">
        <v>325</v>
      </c>
      <c r="G101" s="77">
        <v>1</v>
      </c>
      <c r="H101" s="157"/>
      <c r="I101" s="6" t="e">
        <f t="shared" ref="I101:I110" si="4">$C$100*G101</f>
        <v>#VALUE!</v>
      </c>
      <c r="J101" s="66"/>
      <c r="K101" s="67"/>
      <c r="L101" s="67"/>
    </row>
    <row r="102" spans="1:12" s="6" customFormat="1">
      <c r="A102" s="149"/>
      <c r="B102" s="151"/>
      <c r="C102" s="154"/>
      <c r="D102" s="154"/>
      <c r="E102" s="34" t="s">
        <v>326</v>
      </c>
      <c r="F102" s="46" t="s">
        <v>327</v>
      </c>
      <c r="G102" s="77">
        <v>2</v>
      </c>
      <c r="H102" s="157"/>
      <c r="I102" s="6" t="e">
        <f t="shared" si="4"/>
        <v>#VALUE!</v>
      </c>
      <c r="J102" s="66"/>
      <c r="K102" s="67"/>
      <c r="L102" s="67"/>
    </row>
    <row r="103" spans="1:12" s="6" customFormat="1">
      <c r="A103" s="149"/>
      <c r="B103" s="151"/>
      <c r="C103" s="154"/>
      <c r="D103" s="154"/>
      <c r="E103" s="57" t="s">
        <v>332</v>
      </c>
      <c r="F103" s="46" t="s">
        <v>333</v>
      </c>
      <c r="G103" s="77">
        <v>2</v>
      </c>
      <c r="H103" s="157"/>
      <c r="I103" s="6" t="e">
        <f t="shared" si="4"/>
        <v>#VALUE!</v>
      </c>
      <c r="J103" s="66"/>
      <c r="K103" s="67"/>
      <c r="L103" s="67"/>
    </row>
    <row r="104" spans="1:12" s="6" customFormat="1">
      <c r="A104" s="149"/>
      <c r="B104" s="151"/>
      <c r="C104" s="154"/>
      <c r="D104" s="154"/>
      <c r="E104" s="57" t="s">
        <v>328</v>
      </c>
      <c r="F104" s="46" t="s">
        <v>329</v>
      </c>
      <c r="G104" s="77">
        <v>2</v>
      </c>
      <c r="H104" s="157"/>
      <c r="I104" s="6" t="e">
        <f t="shared" si="4"/>
        <v>#VALUE!</v>
      </c>
      <c r="J104" s="66"/>
      <c r="K104" s="67"/>
      <c r="L104" s="67"/>
    </row>
    <row r="105" spans="1:12" s="6" customFormat="1" ht="30">
      <c r="A105" s="149"/>
      <c r="B105" s="151"/>
      <c r="C105" s="154"/>
      <c r="D105" s="154"/>
      <c r="E105" s="34" t="s">
        <v>221</v>
      </c>
      <c r="F105" s="46" t="s">
        <v>222</v>
      </c>
      <c r="G105" s="77">
        <v>2</v>
      </c>
      <c r="H105" s="157"/>
      <c r="I105" s="6" t="e">
        <f t="shared" si="4"/>
        <v>#VALUE!</v>
      </c>
      <c r="J105" s="66"/>
      <c r="K105" s="67"/>
      <c r="L105" s="67"/>
    </row>
    <row r="106" spans="1:12" s="6" customFormat="1" ht="15" customHeight="1">
      <c r="A106" s="149"/>
      <c r="B106" s="151"/>
      <c r="C106" s="154"/>
      <c r="D106" s="154"/>
      <c r="E106" s="34" t="s">
        <v>238</v>
      </c>
      <c r="F106" s="46" t="s">
        <v>239</v>
      </c>
      <c r="G106" s="77">
        <v>3</v>
      </c>
      <c r="H106" s="157"/>
      <c r="I106" s="6" t="e">
        <f t="shared" si="4"/>
        <v>#VALUE!</v>
      </c>
      <c r="J106" s="66"/>
      <c r="K106" s="67"/>
      <c r="L106" s="67"/>
    </row>
    <row r="107" spans="1:12" s="6" customFormat="1" ht="30">
      <c r="A107" s="149"/>
      <c r="B107" s="151"/>
      <c r="C107" s="154"/>
      <c r="D107" s="154"/>
      <c r="E107" s="34" t="s">
        <v>240</v>
      </c>
      <c r="F107" s="46" t="s">
        <v>241</v>
      </c>
      <c r="G107" s="77">
        <v>2</v>
      </c>
      <c r="H107" s="157"/>
      <c r="I107" s="6" t="e">
        <f t="shared" si="4"/>
        <v>#VALUE!</v>
      </c>
      <c r="J107" s="66"/>
      <c r="K107" s="67"/>
      <c r="L107" s="67"/>
    </row>
    <row r="108" spans="1:12" s="6" customFormat="1" ht="30">
      <c r="A108" s="149"/>
      <c r="B108" s="151"/>
      <c r="C108" s="154"/>
      <c r="D108" s="154"/>
      <c r="E108" s="34" t="s">
        <v>314</v>
      </c>
      <c r="F108" s="46" t="s">
        <v>315</v>
      </c>
      <c r="G108" s="77">
        <v>15</v>
      </c>
      <c r="H108" s="157"/>
      <c r="I108" s="6" t="e">
        <f t="shared" si="4"/>
        <v>#VALUE!</v>
      </c>
      <c r="J108" s="66"/>
      <c r="K108" s="67"/>
      <c r="L108" s="67"/>
    </row>
    <row r="109" spans="1:12" s="6" customFormat="1" ht="30">
      <c r="A109" s="149"/>
      <c r="B109" s="151"/>
      <c r="C109" s="154"/>
      <c r="D109" s="154"/>
      <c r="E109" s="34" t="s">
        <v>316</v>
      </c>
      <c r="F109" s="58" t="s">
        <v>317</v>
      </c>
      <c r="G109" s="77">
        <v>3</v>
      </c>
      <c r="H109" s="157"/>
      <c r="I109" s="6" t="e">
        <f t="shared" si="4"/>
        <v>#VALUE!</v>
      </c>
      <c r="J109" s="66"/>
      <c r="K109" s="67"/>
      <c r="L109" s="67"/>
    </row>
    <row r="110" spans="1:12" s="6" customFormat="1" ht="30">
      <c r="A110" s="149"/>
      <c r="B110" s="152"/>
      <c r="C110" s="155"/>
      <c r="D110" s="155"/>
      <c r="E110" s="34" t="s">
        <v>318</v>
      </c>
      <c r="F110" s="58" t="s">
        <v>319</v>
      </c>
      <c r="G110" s="77">
        <v>2</v>
      </c>
      <c r="H110" s="158"/>
      <c r="I110" s="6" t="e">
        <f t="shared" si="4"/>
        <v>#VALUE!</v>
      </c>
      <c r="J110" s="66"/>
      <c r="K110" s="67"/>
      <c r="L110" s="67"/>
    </row>
    <row r="111" spans="1:12" s="6" customFormat="1">
      <c r="A111" s="183" t="s">
        <v>334</v>
      </c>
      <c r="B111" s="173" t="s">
        <v>335</v>
      </c>
      <c r="C111" s="165" t="e">
        <f>SUMIF('[2]AGGREGATION to PREAGG_Migration'!A:A,A111,'[2]AGGREGATION to PREAGG_Migration'!D:D)+SUMIF('[2]SR12E&amp;SR7_Card Expansion'!A:A,A111,'[2]SR12E&amp;SR7_Card Expansion'!D:D)+SUMIF('[2]IXR Card Expansion'!A:A,A111,'[2]IXR Card Expansion'!D:D)+SUMIF([2]PREAGG_v2_SR7B!A:A,A111,[2]PREAGG_v2_SR7B!D:D)+SUMIF([2]PREAGG_IXR_R6v2!A:A,A111,[2]PREAGG_IXR_R6v2!D:D)+SUMIF([2]CSG_V1!A:A,A111,[2]CSG_V1!D:D)+SUMIF([2]ESA!A:A,A111,[2]ESA!D:D)+SUMIF([2]Accessories!A:A,A111,[2]Accessories!D:D)</f>
        <v>#VALUE!</v>
      </c>
      <c r="D111" s="165"/>
      <c r="E111" s="52" t="s">
        <v>310</v>
      </c>
      <c r="F111" s="14" t="s">
        <v>336</v>
      </c>
      <c r="G111" s="73">
        <v>1</v>
      </c>
      <c r="H111" s="176"/>
      <c r="I111" s="6" t="e">
        <f>C111*G111</f>
        <v>#VALUE!</v>
      </c>
      <c r="J111" s="66"/>
      <c r="K111" s="67"/>
      <c r="L111" s="67"/>
    </row>
    <row r="112" spans="1:12" s="6" customFormat="1" ht="30">
      <c r="A112" s="183"/>
      <c r="B112" s="174"/>
      <c r="C112" s="166"/>
      <c r="D112" s="166"/>
      <c r="E112" s="52" t="s">
        <v>238</v>
      </c>
      <c r="F112" s="14" t="s">
        <v>239</v>
      </c>
      <c r="G112" s="73">
        <v>7</v>
      </c>
      <c r="H112" s="177"/>
      <c r="I112" t="e">
        <f>C111*G112</f>
        <v>#VALUE!</v>
      </c>
      <c r="J112" s="66"/>
      <c r="K112" s="67"/>
      <c r="L112" s="67"/>
    </row>
    <row r="113" spans="1:12" s="6" customFormat="1" ht="30">
      <c r="A113" s="183"/>
      <c r="B113" s="175"/>
      <c r="C113" s="167"/>
      <c r="D113" s="167"/>
      <c r="E113" s="52" t="s">
        <v>240</v>
      </c>
      <c r="F113" s="14" t="s">
        <v>241</v>
      </c>
      <c r="G113" s="73">
        <v>3</v>
      </c>
      <c r="H113" s="178"/>
      <c r="I113" t="e">
        <f>C111*G113</f>
        <v>#VALUE!</v>
      </c>
      <c r="J113" s="66"/>
      <c r="K113" s="67"/>
      <c r="L113" s="67"/>
    </row>
    <row r="114" spans="1:12" s="6" customFormat="1">
      <c r="A114" s="149" t="s">
        <v>337</v>
      </c>
      <c r="B114" s="150" t="s">
        <v>338</v>
      </c>
      <c r="C114" s="165" t="e">
        <f>SUMIF('[2]AGGREGATION to PREAGG_Migration'!A:A,A114,'[2]AGGREGATION to PREAGG_Migration'!D:D)+SUMIF('[2]SR12E&amp;SR7_Card Expansion'!A:A,A114,'[2]SR12E&amp;SR7_Card Expansion'!D:D)+SUMIF('[2]IXR Card Expansion'!A:A,A114,'[2]IXR Card Expansion'!D:D)+SUMIF([2]PREAGG_v2_SR7B!A:A,A114,[2]PREAGG_v2_SR7B!D:D)+SUMIF([2]PREAGG_IXR_R6v2!A:A,A114,[2]PREAGG_IXR_R6v2!D:D)+SUMIF([2]CSG_V1!A:A,A114,[2]CSG_V1!D:D)+SUMIF([2]ESA!A:A,A114,[2]ESA!D:D)+SUMIF([2]Accessories!A:A,A114,[2]Accessories!D:D)</f>
        <v>#VALUE!</v>
      </c>
      <c r="D114" s="153"/>
      <c r="E114" s="34" t="s">
        <v>328</v>
      </c>
      <c r="F114" s="46" t="s">
        <v>329</v>
      </c>
      <c r="G114" s="77">
        <v>1</v>
      </c>
      <c r="H114" s="156"/>
      <c r="I114" s="7" t="e">
        <f>C114*G114</f>
        <v>#VALUE!</v>
      </c>
      <c r="J114" s="66"/>
      <c r="K114" s="67"/>
      <c r="L114" s="67"/>
    </row>
    <row r="115" spans="1:12" s="6" customFormat="1" ht="30">
      <c r="A115" s="149"/>
      <c r="B115" s="151"/>
      <c r="C115" s="166"/>
      <c r="D115" s="154"/>
      <c r="E115" s="34" t="s">
        <v>238</v>
      </c>
      <c r="F115" s="46" t="s">
        <v>239</v>
      </c>
      <c r="G115" s="77">
        <v>3</v>
      </c>
      <c r="H115" s="157"/>
      <c r="I115" s="7" t="e">
        <f>C114*G115</f>
        <v>#VALUE!</v>
      </c>
      <c r="J115" s="66"/>
      <c r="K115" s="67"/>
      <c r="L115" s="67"/>
    </row>
    <row r="116" spans="1:12" s="6" customFormat="1" ht="30">
      <c r="A116" s="149"/>
      <c r="B116" s="152"/>
      <c r="C116" s="167"/>
      <c r="D116" s="155"/>
      <c r="E116" s="34" t="s">
        <v>240</v>
      </c>
      <c r="F116" s="46" t="s">
        <v>241</v>
      </c>
      <c r="G116" s="77">
        <v>1</v>
      </c>
      <c r="H116" s="158"/>
      <c r="I116" s="7" t="e">
        <f>C114*G116</f>
        <v>#VALUE!</v>
      </c>
      <c r="J116" s="66"/>
      <c r="K116" s="67"/>
      <c r="L116" s="67"/>
    </row>
    <row r="117" spans="1:12">
      <c r="A117" s="183" t="s">
        <v>339</v>
      </c>
      <c r="B117" s="173" t="s">
        <v>340</v>
      </c>
      <c r="C117" s="165" t="e">
        <f>SUMIF('[2]AGGREGATION to PREAGG_Migration'!A:A,A117,'[2]AGGREGATION to PREAGG_Migration'!D:D)+SUMIF('[2]SR12E&amp;SR7_Card Expansion'!A:A,A117,'[2]SR12E&amp;SR7_Card Expansion'!D:D)+SUMIF('[2]IXR Card Expansion'!A:A,A117,'[2]IXR Card Expansion'!D:D)+SUMIF([2]PREAGG_v2_SR7B!A:A,A117,[2]PREAGG_v2_SR7B!D:D)+SUMIF([2]PREAGG_IXR_R6v2!A:A,A117,[2]PREAGG_IXR_R6v2!D:D)+SUMIF([2]CSG_V1!A:A,A117,[2]CSG_V1!D:D)+SUMIF([2]ESA!A:A,A117,[2]ESA!D:D)+SUMIF([2]Accessories!A:A,A117,[2]Accessories!D:D)</f>
        <v>#VALUE!</v>
      </c>
      <c r="D117" s="165"/>
      <c r="E117" s="52" t="s">
        <v>306</v>
      </c>
      <c r="F117" s="14" t="s">
        <v>313</v>
      </c>
      <c r="G117" s="73">
        <v>1</v>
      </c>
      <c r="H117" s="176"/>
      <c r="I117" s="6" t="e">
        <f>C117*G117</f>
        <v>#VALUE!</v>
      </c>
      <c r="J117" s="66"/>
      <c r="K117" s="67"/>
      <c r="L117" s="67"/>
    </row>
    <row r="118" spans="1:12" ht="27" customHeight="1">
      <c r="A118" s="183"/>
      <c r="B118" s="174"/>
      <c r="C118" s="166"/>
      <c r="D118" s="166"/>
      <c r="E118" s="52" t="s">
        <v>314</v>
      </c>
      <c r="F118" s="14" t="s">
        <v>315</v>
      </c>
      <c r="G118" s="73">
        <v>14</v>
      </c>
      <c r="H118" s="177"/>
      <c r="I118" s="6" t="e">
        <f>C117*G118</f>
        <v>#VALUE!</v>
      </c>
      <c r="J118" s="66"/>
      <c r="K118" s="66"/>
      <c r="L118" s="67"/>
    </row>
    <row r="119" spans="1:12" ht="30">
      <c r="A119" s="183"/>
      <c r="B119" s="174"/>
      <c r="C119" s="166"/>
      <c r="D119" s="166"/>
      <c r="E119" s="52" t="s">
        <v>316</v>
      </c>
      <c r="F119" s="14" t="s">
        <v>317</v>
      </c>
      <c r="G119" s="73">
        <v>4</v>
      </c>
      <c r="H119" s="177"/>
      <c r="I119" s="6" t="e">
        <f>C117*G119</f>
        <v>#VALUE!</v>
      </c>
      <c r="J119" s="66"/>
      <c r="K119" s="67"/>
      <c r="L119" s="67"/>
    </row>
    <row r="120" spans="1:12" ht="30">
      <c r="A120" s="183"/>
      <c r="B120" s="175"/>
      <c r="C120" s="167"/>
      <c r="D120" s="167"/>
      <c r="E120" s="52" t="s">
        <v>318</v>
      </c>
      <c r="F120" s="14" t="s">
        <v>319</v>
      </c>
      <c r="G120" s="73">
        <v>2</v>
      </c>
      <c r="H120" s="178"/>
      <c r="I120" s="6" t="e">
        <f>C117*G120</f>
        <v>#VALUE!</v>
      </c>
      <c r="J120" s="66"/>
      <c r="K120" s="67"/>
      <c r="L120" s="67"/>
    </row>
    <row r="121" spans="1:12" s="7" customFormat="1" ht="27.95" customHeight="1">
      <c r="A121" s="149" t="s">
        <v>341</v>
      </c>
      <c r="B121" s="204" t="s">
        <v>342</v>
      </c>
      <c r="C121" s="187" t="e">
        <f>SUMIF('[2]AGGREGATION to PREAGG_Migration'!A:A,A121,'[2]AGGREGATION to PREAGG_Migration'!D:D)+SUMIF('[2]SR12E&amp;SR7_Card Expansion'!A:A,A121,'[2]SR12E&amp;SR7_Card Expansion'!D:D)+SUMIF('[2]IXR Card Expansion'!A:A,A121,'[2]IXR Card Expansion'!D:D)+SUMIF([2]PREAGG_v2_SR7B!A:A,A121,[2]PREAGG_v2_SR7B!D:D)+SUMIF([2]PREAGG_IXR_R6v2!A:A,A121,[2]PREAGG_IXR_R6v2!D:D)+SUMIF([2]CSG_V1!A:A,A121,[2]CSG_V1!D:D)+SUMIF([2]ESA!A:A,A121,[2]ESA!D:D)+SUMIF([2]Accessories!A:A,A121,[2]Accessories!D:D)</f>
        <v>#VALUE!</v>
      </c>
      <c r="D121" s="187"/>
      <c r="E121" s="34" t="s">
        <v>332</v>
      </c>
      <c r="F121" s="46" t="s">
        <v>333</v>
      </c>
      <c r="G121" s="77">
        <v>1</v>
      </c>
      <c r="H121" s="156"/>
      <c r="I121" t="e">
        <f>C121*G121</f>
        <v>#VALUE!</v>
      </c>
      <c r="J121" s="66"/>
      <c r="K121" s="67"/>
      <c r="L121" s="67"/>
    </row>
    <row r="122" spans="1:12" s="7" customFormat="1" ht="30">
      <c r="A122" s="149"/>
      <c r="B122" s="205"/>
      <c r="C122" s="188"/>
      <c r="D122" s="188"/>
      <c r="E122" s="34" t="s">
        <v>314</v>
      </c>
      <c r="F122" s="46" t="s">
        <v>315</v>
      </c>
      <c r="G122" s="77">
        <v>2</v>
      </c>
      <c r="H122" s="158"/>
      <c r="I122" t="e">
        <f>C121*G122</f>
        <v>#VALUE!</v>
      </c>
      <c r="J122" s="66"/>
      <c r="K122" s="67"/>
      <c r="L122" s="67"/>
    </row>
    <row r="123" spans="1:12" s="7" customFormat="1">
      <c r="A123" s="183" t="s">
        <v>343</v>
      </c>
      <c r="B123" s="173" t="s">
        <v>344</v>
      </c>
      <c r="C123" s="187" t="e">
        <f>SUMIF('[2]AGGREGATION to PREAGG_Migration'!A:A,A123,'[2]AGGREGATION to PREAGG_Migration'!D:D)+SUMIF('[2]SR12E&amp;SR7_Card Expansion'!A:A,A123,'[2]SR12E&amp;SR7_Card Expansion'!D:D)+SUMIF('[2]IXR Card Expansion'!A:A,A123,'[2]IXR Card Expansion'!D:D)+SUMIF([2]PREAGG_v2_SR7B!A:A,A123,[2]PREAGG_v2_SR7B!D:D)+SUMIF([2]PREAGG_IXR_R6v2!A:A,A123,[2]PREAGG_IXR_R6v2!D:D)+SUMIF([2]CSG_V1!A:A,A123,[2]CSG_V1!D:D)+SUMIF([2]ESA!A:A,A123,[2]ESA!D:D)+SUMIF([2]Accessories!A:A,A123,[2]Accessories!D:D)</f>
        <v>#VALUE!</v>
      </c>
      <c r="D123" s="165"/>
      <c r="E123" s="52" t="s">
        <v>308</v>
      </c>
      <c r="F123" s="14" t="s">
        <v>309</v>
      </c>
      <c r="G123" s="73">
        <v>2</v>
      </c>
      <c r="H123" s="176"/>
      <c r="I123" t="e">
        <f>C123*G123</f>
        <v>#VALUE!</v>
      </c>
      <c r="J123" s="66"/>
      <c r="K123" s="67"/>
      <c r="L123" s="67"/>
    </row>
    <row r="124" spans="1:12" s="6" customFormat="1" ht="30.95" customHeight="1">
      <c r="A124" s="183"/>
      <c r="B124" s="175"/>
      <c r="C124" s="188"/>
      <c r="D124" s="167"/>
      <c r="E124" s="52" t="s">
        <v>219</v>
      </c>
      <c r="F124" s="14" t="s">
        <v>220</v>
      </c>
      <c r="G124" s="73">
        <v>2</v>
      </c>
      <c r="H124" s="178"/>
      <c r="I124" t="e">
        <f>C123*G124</f>
        <v>#VALUE!</v>
      </c>
      <c r="J124" s="66"/>
      <c r="K124" s="67"/>
      <c r="L124" s="67"/>
    </row>
    <row r="125" spans="1:12" s="6" customFormat="1">
      <c r="A125" s="20" t="s">
        <v>308</v>
      </c>
      <c r="B125" s="25" t="s">
        <v>309</v>
      </c>
      <c r="C125" s="10" t="e">
        <f>SUMIF('[2]AGGREGATION to PREAGG_Migration'!A:A,A125,'[2]AGGREGATION to PREAGG_Migration'!D:D)+SUMIF('[2]SR12E&amp;SR7_Card Expansion'!A:A,A125,'[2]SR12E&amp;SR7_Card Expansion'!D:D)+SUMIF('[2]IXR Card Expansion'!A:A,A125,'[2]IXR Card Expansion'!D:D)+SUMIF([2]PREAGG_v2_SR7B!A:A,A125,[2]PREAGG_v2_SR7B!D:D)+SUMIF([2]PREAGG_IXR_R6v2!A:A,A125,[2]PREAGG_IXR_R6v2!D:D)+SUMIF([2]CSG_V1!A:A,A125,[2]CSG_V1!D:D)+SUMIF([2]ESA!A:A,A125,[2]ESA!D:D)+SUMIF([2]Accessories!A:A,A125,[2]Accessories!D:D)</f>
        <v>#VALUE!</v>
      </c>
      <c r="D125" s="10"/>
      <c r="E125" s="32" t="s">
        <v>308</v>
      </c>
      <c r="F125" s="46" t="s">
        <v>309</v>
      </c>
      <c r="G125" s="77">
        <v>1</v>
      </c>
      <c r="H125" s="48"/>
      <c r="I125" s="7" t="e">
        <f>C125*G125</f>
        <v>#VALUE!</v>
      </c>
      <c r="J125" s="66"/>
      <c r="K125" s="67"/>
      <c r="L125" s="67"/>
    </row>
    <row r="126" spans="1:12" s="6" customFormat="1">
      <c r="A126" s="70" t="s">
        <v>345</v>
      </c>
      <c r="B126" s="14" t="s">
        <v>346</v>
      </c>
      <c r="C126" s="10" t="e">
        <f>SUMIF('[2]AGGREGATION to PREAGG_Migration'!A:A,A126,'[2]AGGREGATION to PREAGG_Migration'!D:D)+SUMIF('[2]SR12E&amp;SR7_Card Expansion'!A:A,A126,'[2]SR12E&amp;SR7_Card Expansion'!D:D)+SUMIF('[2]IXR Card Expansion'!A:A,A126,'[2]IXR Card Expansion'!D:D)+SUMIF([2]PREAGG_v2_SR7B!A:A,A126,[2]PREAGG_v2_SR7B!D:D)+SUMIF([2]PREAGG_IXR_R6v2!A:A,A126,[2]PREAGG_IXR_R6v2!D:D)+SUMIF([2]CSG_V1!A:A,A126,[2]CSG_V1!D:D)+SUMIF([2]ESA!A:A,A126,[2]ESA!D:D)+SUMIF([2]Accessories!A:A,A126,[2]Accessories!D:D)</f>
        <v>#VALUE!</v>
      </c>
      <c r="D126" s="9"/>
      <c r="E126" s="70" t="s">
        <v>345</v>
      </c>
      <c r="F126" s="14" t="s">
        <v>346</v>
      </c>
      <c r="G126" s="73">
        <v>1</v>
      </c>
      <c r="H126" s="48"/>
      <c r="I126" t="e">
        <f>C126*G126</f>
        <v>#VALUE!</v>
      </c>
      <c r="J126" s="66"/>
      <c r="K126" s="67"/>
      <c r="L126" s="67"/>
    </row>
    <row r="127" spans="1:12" s="6" customFormat="1">
      <c r="A127" s="189" t="s">
        <v>347</v>
      </c>
      <c r="B127" s="191" t="s">
        <v>348</v>
      </c>
      <c r="C127" s="153" t="e">
        <f>SUMIF('[2]AGGREGATION to PREAGG_Migration'!A:A,A127,'[2]AGGREGATION to PREAGG_Migration'!D:D)+SUMIF('[2]SR12E&amp;SR7_Card Expansion'!A:A,A127,'[2]SR12E&amp;SR7_Card Expansion'!D:D)+SUMIF('[2]IXR Card Expansion'!A:A,A127,'[2]IXR Card Expansion'!D:D)+SUMIF([2]PREAGG_v2_SR7B!A:A,A127,[2]PREAGG_v2_SR7B!D:D)+SUMIF([2]PREAGG_IXR_R6v2!A:A,A127,[2]PREAGG_IXR_R6v2!D:D)+SUMIF([2]CSG_V1!A:A,A127,[2]CSG_V1!D:D)+SUMIF([2]ESA!A:A,A127,[2]ESA!D:D)+SUMIF([2]Accessories!A:A,A127,[2]Accessories!D:D)</f>
        <v>#VALUE!</v>
      </c>
      <c r="D127" s="187"/>
      <c r="E127" s="33" t="s">
        <v>326</v>
      </c>
      <c r="F127" s="75" t="s">
        <v>327</v>
      </c>
      <c r="G127" s="77">
        <v>1</v>
      </c>
      <c r="H127" s="193"/>
      <c r="I127" s="7" t="e">
        <f>C127*G127</f>
        <v>#VALUE!</v>
      </c>
      <c r="J127" s="66"/>
      <c r="K127" s="67"/>
      <c r="L127" s="67"/>
    </row>
    <row r="128" spans="1:12" ht="30.95" customHeight="1">
      <c r="A128" s="190"/>
      <c r="B128" s="192"/>
      <c r="C128" s="154" t="e">
        <f>SUMIF('[2]AGGREGATION to PREAGG_Migration'!A:A,A128,'[2]AGGREGATION to PREAGG_Migration'!C:C)+SUMIF(#REF!,A128,#REF!)+SUMIF(#REF!,A128,#REF!)+SUMIF('[2]SR12E&amp;SR7_Card Expansion'!A:A,A128,'[2]SR12E&amp;SR7_Card Expansion'!D:D)+SUMIF(#REF!,A128,#REF!)+SUMIF(#REF!,A128,#REF!)+SUMIF(#REF!,A128,#REF!)+SUMIF([2]PREAGG_v2_SR7B!A:A,A128,[2]PREAGG_v2_SR7B!D:D)+SUMIF(#REF!,A128,#REF!)+SUMIF(#REF!,A128,#REF!)+SUMIF(#REF!,A128,#REF!)+SUMIF(#REF!,A128,#REF!)+SUMIF(#REF!,A128,#REF!)+SUMIF('[2]IXR Card Expansion'!A:A,A128,'[2]IXR Card Expansion'!D:D)+SUMIF(#REF!,A128,#REF!)+SUMIF(#REF!,A128,#REF!)</f>
        <v>#VALUE!</v>
      </c>
      <c r="D128" s="188"/>
      <c r="E128" s="33" t="s">
        <v>221</v>
      </c>
      <c r="F128" s="75" t="s">
        <v>222</v>
      </c>
      <c r="G128" s="77">
        <v>1</v>
      </c>
      <c r="H128" s="194"/>
      <c r="I128" s="7" t="e">
        <f>C127*G128</f>
        <v>#VALUE!</v>
      </c>
      <c r="J128" s="66"/>
      <c r="K128" s="67"/>
      <c r="L128" s="67"/>
    </row>
    <row r="129" spans="1:12">
      <c r="A129" s="18" t="s">
        <v>312</v>
      </c>
      <c r="B129" s="26" t="s">
        <v>313</v>
      </c>
      <c r="C129" s="9" t="e">
        <f>SUMIF('[2]AGGREGATION to PREAGG_Migration'!A:A,A129,'[2]AGGREGATION to PREAGG_Migration'!D:D)+SUMIF('[2]SR12E&amp;SR7_Card Expansion'!A:A,A129,'[2]SR12E&amp;SR7_Card Expansion'!D:D)+SUMIF('[2]IXR Card Expansion'!A:A,A129,'[2]IXR Card Expansion'!D:D)+SUMIF([2]PREAGG_v2_SR7B!A:A,A129,[2]PREAGG_v2_SR7B!D:D)+SUMIF([2]PREAGG_IXR_R6v2!A:A,A129,[2]PREAGG_IXR_R6v2!D:D)+SUMIF([2]CSG_V1!A:A,A129,[2]CSG_V1!D:D)+SUMIF([2]ESA!A:A,A129,[2]ESA!D:D)+SUMIF([2]Accessories!A:A,A129,[2]Accessories!D:D)</f>
        <v>#VALUE!</v>
      </c>
      <c r="D129" s="9"/>
      <c r="E129" s="30" t="s">
        <v>306</v>
      </c>
      <c r="F129" s="14" t="s">
        <v>313</v>
      </c>
      <c r="G129" s="73">
        <v>1</v>
      </c>
      <c r="H129" s="48"/>
      <c r="I129" t="e">
        <f t="shared" ref="I129:I134" si="5">C129*G129</f>
        <v>#VALUE!</v>
      </c>
      <c r="J129" s="66"/>
      <c r="K129" s="67"/>
      <c r="L129" s="67"/>
    </row>
    <row r="130" spans="1:12" ht="48" customHeight="1">
      <c r="A130" s="20" t="s">
        <v>332</v>
      </c>
      <c r="B130" s="41" t="s">
        <v>333</v>
      </c>
      <c r="C130" s="9" t="e">
        <f>SUMIF('[2]AGGREGATION to PREAGG_Migration'!A:A,A130,'[2]AGGREGATION to PREAGG_Migration'!D:D)+SUMIF('[2]SR12E&amp;SR7_Card Expansion'!A:A,A130,'[2]SR12E&amp;SR7_Card Expansion'!D:D)+SUMIF('[2]IXR Card Expansion'!A:A,A130,'[2]IXR Card Expansion'!D:D)+SUMIF([2]PREAGG_v2_SR7B!A:A,A130,[2]PREAGG_v2_SR7B!D:D)+SUMIF([2]PREAGG_IXR_R6v2!A:A,A130,[2]PREAGG_IXR_R6v2!D:D)+SUMIF([2]CSG_V1!A:A,A130,[2]CSG_V1!D:D)+SUMIF([2]ESA!A:A,A130,[2]ESA!D:D)+SUMIF([2]Accessories!A:A,A130,[2]Accessories!D:D)</f>
        <v>#VALUE!</v>
      </c>
      <c r="D130" s="10"/>
      <c r="E130" s="32" t="s">
        <v>332</v>
      </c>
      <c r="F130" s="46" t="s">
        <v>333</v>
      </c>
      <c r="G130" s="77">
        <v>1</v>
      </c>
      <c r="H130" s="48"/>
      <c r="I130" t="e">
        <f t="shared" si="5"/>
        <v>#VALUE!</v>
      </c>
      <c r="J130" s="66"/>
      <c r="K130" s="67"/>
      <c r="L130" s="67"/>
    </row>
    <row r="131" spans="1:12">
      <c r="A131" s="18" t="s">
        <v>310</v>
      </c>
      <c r="B131" s="26" t="s">
        <v>336</v>
      </c>
      <c r="C131" s="9" t="e">
        <f>SUMIF('[2]AGGREGATION to PREAGG_Migration'!A:A,A131,'[2]AGGREGATION to PREAGG_Migration'!D:D)+SUMIF('[2]SR12E&amp;SR7_Card Expansion'!A:A,A131,'[2]SR12E&amp;SR7_Card Expansion'!D:D)+SUMIF('[2]IXR Card Expansion'!A:A,A131,'[2]IXR Card Expansion'!D:D)+SUMIF([2]PREAGG_v2_SR7B!A:A,A131,[2]PREAGG_v2_SR7B!D:D)+SUMIF([2]PREAGG_IXR_R6v2!A:A,A131,[2]PREAGG_IXR_R6v2!D:D)+SUMIF([2]CSG_V1!A:A,A131,[2]CSG_V1!D:D)+SUMIF([2]ESA!A:A,A131,[2]ESA!D:D)+SUMIF([2]Accessories!A:A,A131,[2]Accessories!D:D)</f>
        <v>#VALUE!</v>
      </c>
      <c r="D131" s="9"/>
      <c r="E131" s="30" t="s">
        <v>310</v>
      </c>
      <c r="F131" s="14" t="s">
        <v>336</v>
      </c>
      <c r="G131" s="73">
        <v>1</v>
      </c>
      <c r="H131" s="48"/>
      <c r="I131" t="e">
        <f t="shared" si="5"/>
        <v>#VALUE!</v>
      </c>
      <c r="J131" s="66"/>
      <c r="K131" s="67"/>
      <c r="L131" s="67"/>
    </row>
    <row r="132" spans="1:12" s="7" customFormat="1">
      <c r="A132" s="20" t="s">
        <v>349</v>
      </c>
      <c r="B132" s="41" t="s">
        <v>350</v>
      </c>
      <c r="C132" s="9" t="e">
        <f>SUMIF('[2]AGGREGATION to PREAGG_Migration'!A:A,A132,'[2]AGGREGATION to PREAGG_Migration'!D:D)+SUMIF('[2]SR12E&amp;SR7_Card Expansion'!A:A,A132,'[2]SR12E&amp;SR7_Card Expansion'!D:D)+SUMIF('[2]IXR Card Expansion'!A:A,A132,'[2]IXR Card Expansion'!D:D)+SUMIF([2]PREAGG_v2_SR7B!A:A,A132,[2]PREAGG_v2_SR7B!D:D)+SUMIF([2]PREAGG_IXR_R6v2!A:A,A132,[2]PREAGG_IXR_R6v2!D:D)+SUMIF([2]CSG_V1!A:A,A132,[2]CSG_V1!D:D)+SUMIF([2]ESA!A:A,A132,[2]ESA!D:D)+SUMIF([2]Accessories!A:A,A132,[2]Accessories!D:D)</f>
        <v>#VALUE!</v>
      </c>
      <c r="D132" s="10"/>
      <c r="E132" s="32" t="s">
        <v>349</v>
      </c>
      <c r="F132" s="46" t="s">
        <v>350</v>
      </c>
      <c r="G132" s="77">
        <v>1</v>
      </c>
      <c r="H132" s="48"/>
      <c r="I132" t="e">
        <f t="shared" si="5"/>
        <v>#VALUE!</v>
      </c>
      <c r="J132" s="66"/>
      <c r="K132" s="67"/>
      <c r="L132" s="67"/>
    </row>
    <row r="133" spans="1:12">
      <c r="A133" s="18" t="s">
        <v>351</v>
      </c>
      <c r="B133" s="26" t="s">
        <v>352</v>
      </c>
      <c r="C133" s="9" t="e">
        <f>SUMIF('[2]AGGREGATION to PREAGG_Migration'!A:A,A133,'[2]AGGREGATION to PREAGG_Migration'!D:D)+SUMIF('[2]SR12E&amp;SR7_Card Expansion'!A:A,A133,'[2]SR12E&amp;SR7_Card Expansion'!D:D)+SUMIF('[2]IXR Card Expansion'!A:A,A133,'[2]IXR Card Expansion'!D:D)+SUMIF([2]PREAGG_v2_SR7B!A:A,A133,[2]PREAGG_v2_SR7B!D:D)+SUMIF([2]PREAGG_IXR_R6v2!A:A,A133,[2]PREAGG_IXR_R6v2!D:D)+SUMIF([2]CSG_V1!A:A,A133,[2]CSG_V1!D:D)+SUMIF([2]ESA!A:A,A133,[2]ESA!D:D)+SUMIF([2]Accessories!A:A,A133,[2]Accessories!D:D)</f>
        <v>#VALUE!</v>
      </c>
      <c r="D133" s="9"/>
      <c r="E133" s="30" t="s">
        <v>351</v>
      </c>
      <c r="F133" s="14" t="s">
        <v>352</v>
      </c>
      <c r="G133" s="73">
        <v>1</v>
      </c>
      <c r="H133" s="48"/>
      <c r="I133" t="e">
        <f t="shared" si="5"/>
        <v>#VALUE!</v>
      </c>
      <c r="J133" s="66"/>
      <c r="K133" s="67"/>
      <c r="L133" s="67"/>
    </row>
    <row r="134" spans="1:12" s="7" customFormat="1" ht="30" customHeight="1">
      <c r="A134" s="20" t="s">
        <v>328</v>
      </c>
      <c r="B134" s="41" t="s">
        <v>329</v>
      </c>
      <c r="C134" s="9" t="e">
        <f>SUMIF('[2]AGGREGATION to PREAGG_Migration'!A:A,A134,'[2]AGGREGATION to PREAGG_Migration'!D:D)+SUMIF('[2]SR12E&amp;SR7_Card Expansion'!A:A,A134,'[2]SR12E&amp;SR7_Card Expansion'!D:D)+SUMIF('[2]IXR Card Expansion'!A:A,A134,'[2]IXR Card Expansion'!D:D)+SUMIF([2]PREAGG_v2_SR7B!A:A,A134,[2]PREAGG_v2_SR7B!D:D)+SUMIF([2]PREAGG_IXR_R6v2!A:A,A134,[2]PREAGG_IXR_R6v2!D:D)+SUMIF([2]CSG_V1!A:A,A134,[2]CSG_V1!D:D)+SUMIF([2]ESA!A:A,A134,[2]ESA!D:D)+SUMIF([2]Accessories!A:A,A134,[2]Accessories!D:D)</f>
        <v>#VALUE!</v>
      </c>
      <c r="D134" s="10"/>
      <c r="E134" s="32" t="s">
        <v>328</v>
      </c>
      <c r="F134" s="46" t="s">
        <v>329</v>
      </c>
      <c r="G134" s="77">
        <v>1</v>
      </c>
      <c r="H134" s="48"/>
      <c r="I134" t="e">
        <f t="shared" si="5"/>
        <v>#VALUE!</v>
      </c>
      <c r="J134" s="66"/>
      <c r="K134" s="67"/>
      <c r="L134" s="67"/>
    </row>
    <row r="135" spans="1:12" s="7" customFormat="1" ht="30" customHeight="1">
      <c r="A135" s="180" t="s">
        <v>353</v>
      </c>
      <c r="B135" s="150" t="s">
        <v>354</v>
      </c>
      <c r="C135" s="153" t="e">
        <f>SUMIF('[2]AGGREGATION to PREAGG_Migration'!A:A,A135,'[2]AGGREGATION to PREAGG_Migration'!D:D)+SUMIF('[2]SR12E&amp;SR7_Card Expansion'!A:A,A135,'[2]SR12E&amp;SR7_Card Expansion'!D:D)+SUMIF('[2]IXR Card Expansion'!A:A,A135,'[2]IXR Card Expansion'!D:D)+SUMIF([2]PREAGG_v2_SR7B!A:A,A135,[2]PREAGG_v2_SR7B!D:D)+SUMIF([2]PREAGG_IXR_R6v2!A:A,A135,[2]PREAGG_IXR_R6v2!D:D)+SUMIF([2]CSG_V1!A:A,A135,[2]CSG_V1!D:D)+SUMIF([2]ESA!A:A,A135,[2]ESA!D:D)+SUMIF([2]Accessories!A:A,A135,[2]Accessories!D:D)</f>
        <v>#VALUE!</v>
      </c>
      <c r="D135" s="153"/>
      <c r="E135" s="34" t="s">
        <v>355</v>
      </c>
      <c r="F135" s="46" t="s">
        <v>356</v>
      </c>
      <c r="G135" s="77">
        <v>1</v>
      </c>
      <c r="H135" s="156"/>
      <c r="I135" t="e">
        <f>$C$135*G135</f>
        <v>#VALUE!</v>
      </c>
      <c r="J135" s="66"/>
      <c r="K135" s="67"/>
      <c r="L135" s="67"/>
    </row>
    <row r="136" spans="1:12" ht="30">
      <c r="A136" s="181"/>
      <c r="B136" s="151"/>
      <c r="C136" s="154"/>
      <c r="D136" s="154"/>
      <c r="E136" s="34" t="s">
        <v>221</v>
      </c>
      <c r="F136" s="46" t="s">
        <v>222</v>
      </c>
      <c r="G136" s="77">
        <v>2</v>
      </c>
      <c r="H136" s="157"/>
      <c r="I136" t="e">
        <f t="shared" ref="I136:I143" si="6">$C$135*G136</f>
        <v>#VALUE!</v>
      </c>
      <c r="J136" s="66"/>
      <c r="K136" s="67"/>
      <c r="L136" s="67"/>
    </row>
    <row r="137" spans="1:12" ht="30">
      <c r="A137" s="181"/>
      <c r="B137" s="151"/>
      <c r="C137" s="154"/>
      <c r="D137" s="154"/>
      <c r="E137" s="34" t="s">
        <v>238</v>
      </c>
      <c r="F137" s="46" t="s">
        <v>239</v>
      </c>
      <c r="G137" s="77">
        <v>3</v>
      </c>
      <c r="H137" s="157"/>
      <c r="I137" t="e">
        <f t="shared" si="6"/>
        <v>#VALUE!</v>
      </c>
      <c r="J137" s="66"/>
      <c r="K137" s="67"/>
      <c r="L137" s="67"/>
    </row>
    <row r="138" spans="1:12" ht="30">
      <c r="A138" s="181"/>
      <c r="B138" s="151"/>
      <c r="C138" s="154"/>
      <c r="D138" s="154"/>
      <c r="E138" s="34" t="s">
        <v>240</v>
      </c>
      <c r="F138" s="46" t="s">
        <v>241</v>
      </c>
      <c r="G138" s="77">
        <v>1</v>
      </c>
      <c r="H138" s="157"/>
      <c r="I138" t="e">
        <f t="shared" si="6"/>
        <v>#VALUE!</v>
      </c>
      <c r="J138" s="66"/>
      <c r="K138" s="66"/>
      <c r="L138" s="67"/>
    </row>
    <row r="139" spans="1:12" ht="30">
      <c r="A139" s="181"/>
      <c r="B139" s="151"/>
      <c r="C139" s="154"/>
      <c r="D139" s="154"/>
      <c r="E139" s="34" t="s">
        <v>314</v>
      </c>
      <c r="F139" s="46" t="s">
        <v>315</v>
      </c>
      <c r="G139" s="77">
        <v>7</v>
      </c>
      <c r="H139" s="157"/>
      <c r="I139" t="e">
        <f t="shared" si="6"/>
        <v>#VALUE!</v>
      </c>
      <c r="J139" s="66"/>
      <c r="K139" s="66"/>
      <c r="L139" s="67"/>
    </row>
    <row r="140" spans="1:12" ht="30">
      <c r="A140" s="181"/>
      <c r="B140" s="151"/>
      <c r="C140" s="154"/>
      <c r="D140" s="154"/>
      <c r="E140" s="34" t="s">
        <v>316</v>
      </c>
      <c r="F140" s="46" t="s">
        <v>317</v>
      </c>
      <c r="G140" s="77">
        <v>2</v>
      </c>
      <c r="H140" s="157"/>
      <c r="I140" t="e">
        <f t="shared" si="6"/>
        <v>#VALUE!</v>
      </c>
      <c r="J140" s="66"/>
      <c r="K140" s="66"/>
      <c r="L140" s="67"/>
    </row>
    <row r="141" spans="1:12" ht="30">
      <c r="A141" s="181"/>
      <c r="B141" s="151"/>
      <c r="C141" s="154"/>
      <c r="D141" s="154"/>
      <c r="E141" s="34" t="s">
        <v>318</v>
      </c>
      <c r="F141" s="46" t="s">
        <v>319</v>
      </c>
      <c r="G141" s="77">
        <v>1</v>
      </c>
      <c r="H141" s="157"/>
      <c r="I141" t="e">
        <f t="shared" si="6"/>
        <v>#VALUE!</v>
      </c>
      <c r="J141" s="66"/>
      <c r="K141" s="67"/>
      <c r="L141" s="67"/>
    </row>
    <row r="142" spans="1:12">
      <c r="A142" s="181"/>
      <c r="B142" s="151"/>
      <c r="C142" s="154"/>
      <c r="D142" s="154"/>
      <c r="E142" s="34" t="s">
        <v>357</v>
      </c>
      <c r="F142" s="46" t="s">
        <v>358</v>
      </c>
      <c r="G142" s="46">
        <f>G135</f>
        <v>1</v>
      </c>
      <c r="H142" s="157"/>
      <c r="I142" t="e">
        <f t="shared" si="6"/>
        <v>#VALUE!</v>
      </c>
      <c r="J142" s="66"/>
      <c r="K142" s="67"/>
      <c r="L142" s="67"/>
    </row>
    <row r="143" spans="1:12" ht="15" customHeight="1">
      <c r="A143" s="181"/>
      <c r="B143" s="152"/>
      <c r="C143" s="155"/>
      <c r="D143" s="155"/>
      <c r="E143" s="34" t="s">
        <v>359</v>
      </c>
      <c r="F143" s="46" t="s">
        <v>360</v>
      </c>
      <c r="G143" s="46">
        <v>1</v>
      </c>
      <c r="H143" s="158"/>
      <c r="I143" t="e">
        <f t="shared" si="6"/>
        <v>#VALUE!</v>
      </c>
      <c r="J143" s="66"/>
      <c r="K143" s="67"/>
      <c r="L143" s="67"/>
    </row>
    <row r="144" spans="1:12">
      <c r="A144" s="171" t="s">
        <v>361</v>
      </c>
      <c r="B144" s="173" t="s">
        <v>362</v>
      </c>
      <c r="C144" s="165" t="e">
        <f>SUMIF('[2]AGGREGATION to PREAGG_Migration'!A:A,A144,'[2]AGGREGATION to PREAGG_Migration'!D:D)+SUMIF('[2]SR12E&amp;SR7_Card Expansion'!A:A,A144,'[2]SR12E&amp;SR7_Card Expansion'!D:D)+SUMIF('[2]IXR Card Expansion'!A:A,A144,'[2]IXR Card Expansion'!D:D)+SUMIF([2]PREAGG_v2_SR7B!A:A,A144,[2]PREAGG_v2_SR7B!D:D)+SUMIF([2]PREAGG_IXR_R6v2!A:A,A144,[2]PREAGG_IXR_R6v2!D:D)+SUMIF([2]CSG_V1!A:A,A144,[2]CSG_V1!D:D)+SUMIF([2]ESA!A:A,A144,[2]ESA!D:D)+SUMIF([2]Accessories!A:A,A144,[2]Accessories!D:D)</f>
        <v>#VALUE!</v>
      </c>
      <c r="D144" s="165"/>
      <c r="E144" s="52" t="s">
        <v>355</v>
      </c>
      <c r="F144" s="14" t="s">
        <v>356</v>
      </c>
      <c r="G144" s="73">
        <v>1</v>
      </c>
      <c r="H144" s="184"/>
      <c r="I144" t="e">
        <f>$C$144*G144</f>
        <v>#VALUE!</v>
      </c>
      <c r="J144" s="66"/>
      <c r="K144" s="67"/>
      <c r="L144" s="67"/>
    </row>
    <row r="145" spans="1:12" ht="30">
      <c r="A145" s="172"/>
      <c r="B145" s="174"/>
      <c r="C145" s="166"/>
      <c r="D145" s="166"/>
      <c r="E145" s="52" t="s">
        <v>238</v>
      </c>
      <c r="F145" s="14" t="s">
        <v>239</v>
      </c>
      <c r="G145" s="73">
        <v>2</v>
      </c>
      <c r="H145" s="185"/>
      <c r="I145" t="e">
        <f t="shared" ref="I145:I150" si="7">$C$144*G145</f>
        <v>#VALUE!</v>
      </c>
      <c r="J145" s="66"/>
      <c r="K145" s="67"/>
      <c r="L145" s="67"/>
    </row>
    <row r="146" spans="1:12" ht="30">
      <c r="A146" s="172"/>
      <c r="B146" s="174"/>
      <c r="C146" s="166"/>
      <c r="D146" s="166"/>
      <c r="E146" s="52" t="s">
        <v>314</v>
      </c>
      <c r="F146" s="14" t="s">
        <v>315</v>
      </c>
      <c r="G146" s="73">
        <v>7</v>
      </c>
      <c r="H146" s="185"/>
      <c r="I146" t="e">
        <f t="shared" si="7"/>
        <v>#VALUE!</v>
      </c>
      <c r="J146" s="66"/>
      <c r="K146" s="67"/>
      <c r="L146" s="67"/>
    </row>
    <row r="147" spans="1:12" ht="30">
      <c r="A147" s="172"/>
      <c r="B147" s="174"/>
      <c r="C147" s="166"/>
      <c r="D147" s="166"/>
      <c r="E147" s="52" t="s">
        <v>316</v>
      </c>
      <c r="F147" s="14" t="s">
        <v>317</v>
      </c>
      <c r="G147" s="73">
        <v>2</v>
      </c>
      <c r="H147" s="185"/>
      <c r="I147" t="e">
        <f t="shared" si="7"/>
        <v>#VALUE!</v>
      </c>
      <c r="J147" s="66"/>
      <c r="K147" s="67"/>
      <c r="L147" s="67"/>
    </row>
    <row r="148" spans="1:12" ht="30">
      <c r="A148" s="172"/>
      <c r="B148" s="174"/>
      <c r="C148" s="166"/>
      <c r="D148" s="166"/>
      <c r="E148" s="52" t="s">
        <v>318</v>
      </c>
      <c r="F148" s="14" t="s">
        <v>319</v>
      </c>
      <c r="G148" s="73">
        <v>1</v>
      </c>
      <c r="H148" s="185"/>
      <c r="I148" t="e">
        <f t="shared" si="7"/>
        <v>#VALUE!</v>
      </c>
      <c r="J148" s="66"/>
      <c r="K148" s="67"/>
      <c r="L148" s="67"/>
    </row>
    <row r="149" spans="1:12">
      <c r="A149" s="172"/>
      <c r="B149" s="174"/>
      <c r="C149" s="166"/>
      <c r="D149" s="166"/>
      <c r="E149" s="52" t="s">
        <v>357</v>
      </c>
      <c r="F149" s="14" t="s">
        <v>358</v>
      </c>
      <c r="G149" s="73">
        <f>G142</f>
        <v>1</v>
      </c>
      <c r="H149" s="185"/>
      <c r="I149" t="e">
        <f t="shared" si="7"/>
        <v>#VALUE!</v>
      </c>
      <c r="J149" s="66"/>
      <c r="K149" s="67"/>
      <c r="L149" s="67"/>
    </row>
    <row r="150" spans="1:12">
      <c r="A150" s="172"/>
      <c r="B150" s="175"/>
      <c r="C150" s="167"/>
      <c r="D150" s="167"/>
      <c r="E150" s="52" t="s">
        <v>359</v>
      </c>
      <c r="F150" s="14" t="s">
        <v>360</v>
      </c>
      <c r="G150" s="73">
        <v>1</v>
      </c>
      <c r="H150" s="186"/>
      <c r="I150" t="e">
        <f t="shared" si="7"/>
        <v>#VALUE!</v>
      </c>
      <c r="J150" s="66"/>
      <c r="K150" s="67"/>
      <c r="L150" s="67"/>
    </row>
    <row r="151" spans="1:12">
      <c r="A151" s="180" t="s">
        <v>363</v>
      </c>
      <c r="B151" s="150" t="s">
        <v>364</v>
      </c>
      <c r="C151" s="165" t="e">
        <f>SUMIF('[2]AGGREGATION to PREAGG_Migration'!A:A,A151,'[2]AGGREGATION to PREAGG_Migration'!D:D)+SUMIF('[2]SR12E&amp;SR7_Card Expansion'!A:A,A151,'[2]SR12E&amp;SR7_Card Expansion'!D:D)+SUMIF('[2]IXR Card Expansion'!A:A,A151,'[2]IXR Card Expansion'!D:D)+SUMIF([2]PREAGG_v2_SR7B!A:A,A151,[2]PREAGG_v2_SR7B!D:D)+SUMIF([2]PREAGG_IXR_R6v2!A:A,A151,[2]PREAGG_IXR_R6v2!D:D)+SUMIF([2]CSG_V1!A:A,A151,[2]CSG_V1!D:D)+SUMIF([2]ESA!A:A,A151,[2]ESA!D:D)+SUMIF([2]Accessories!A:A,A151,[2]Accessories!D:D)</f>
        <v>#VALUE!</v>
      </c>
      <c r="D151" s="153"/>
      <c r="E151" s="34" t="s">
        <v>365</v>
      </c>
      <c r="F151" s="46" t="s">
        <v>366</v>
      </c>
      <c r="G151" s="77">
        <v>1</v>
      </c>
      <c r="H151" s="156"/>
      <c r="I151" t="e">
        <f>$C$151*G151</f>
        <v>#VALUE!</v>
      </c>
      <c r="J151" s="66"/>
      <c r="K151" s="67"/>
      <c r="L151" s="67"/>
    </row>
    <row r="152" spans="1:12" ht="15" customHeight="1">
      <c r="A152" s="181"/>
      <c r="B152" s="151"/>
      <c r="C152" s="166"/>
      <c r="D152" s="154"/>
      <c r="E152" s="34" t="s">
        <v>314</v>
      </c>
      <c r="F152" s="46" t="s">
        <v>315</v>
      </c>
      <c r="G152" s="77">
        <v>5</v>
      </c>
      <c r="H152" s="157"/>
      <c r="I152" t="e">
        <f t="shared" ref="I152:I157" si="8">$C$151*G152</f>
        <v>#VALUE!</v>
      </c>
      <c r="J152" s="66"/>
      <c r="K152" s="67"/>
      <c r="L152" s="67"/>
    </row>
    <row r="153" spans="1:12" ht="30">
      <c r="A153" s="181"/>
      <c r="B153" s="151"/>
      <c r="C153" s="166"/>
      <c r="D153" s="154"/>
      <c r="E153" s="34" t="s">
        <v>316</v>
      </c>
      <c r="F153" s="46" t="s">
        <v>317</v>
      </c>
      <c r="G153" s="77">
        <v>2</v>
      </c>
      <c r="H153" s="157"/>
      <c r="I153" t="e">
        <f t="shared" si="8"/>
        <v>#VALUE!</v>
      </c>
      <c r="J153" s="66"/>
      <c r="K153" s="67"/>
      <c r="L153" s="67"/>
    </row>
    <row r="154" spans="1:12" ht="30">
      <c r="A154" s="181"/>
      <c r="B154" s="151"/>
      <c r="C154" s="166"/>
      <c r="D154" s="154"/>
      <c r="E154" s="34" t="s">
        <v>318</v>
      </c>
      <c r="F154" s="46" t="s">
        <v>319</v>
      </c>
      <c r="G154" s="77">
        <v>1</v>
      </c>
      <c r="H154" s="157"/>
      <c r="I154" t="e">
        <f t="shared" si="8"/>
        <v>#VALUE!</v>
      </c>
      <c r="J154" s="66"/>
      <c r="K154" s="67"/>
      <c r="L154" s="67"/>
    </row>
    <row r="155" spans="1:12" ht="30">
      <c r="A155" s="181"/>
      <c r="B155" s="151"/>
      <c r="C155" s="166"/>
      <c r="D155" s="154"/>
      <c r="E155" s="60" t="s">
        <v>367</v>
      </c>
      <c r="F155" s="46" t="s">
        <v>368</v>
      </c>
      <c r="G155" s="77">
        <v>4</v>
      </c>
      <c r="H155" s="157"/>
      <c r="I155" t="e">
        <f t="shared" si="8"/>
        <v>#VALUE!</v>
      </c>
      <c r="J155" s="66"/>
      <c r="K155" s="67"/>
      <c r="L155" s="67"/>
    </row>
    <row r="156" spans="1:12">
      <c r="A156" s="181"/>
      <c r="B156" s="151"/>
      <c r="C156" s="166"/>
      <c r="D156" s="154"/>
      <c r="E156" s="34" t="s">
        <v>357</v>
      </c>
      <c r="F156" s="46" t="s">
        <v>358</v>
      </c>
      <c r="G156" s="77">
        <f>G149</f>
        <v>1</v>
      </c>
      <c r="H156" s="157"/>
      <c r="I156" t="e">
        <f t="shared" si="8"/>
        <v>#VALUE!</v>
      </c>
      <c r="J156" s="66"/>
      <c r="K156" s="67"/>
      <c r="L156" s="67"/>
    </row>
    <row r="157" spans="1:12">
      <c r="A157" s="182"/>
      <c r="B157" s="152"/>
      <c r="C157" s="167"/>
      <c r="D157" s="155"/>
      <c r="E157" s="34" t="s">
        <v>359</v>
      </c>
      <c r="F157" s="46" t="s">
        <v>360</v>
      </c>
      <c r="G157" s="77">
        <v>1</v>
      </c>
      <c r="H157" s="158"/>
      <c r="I157" t="e">
        <f t="shared" si="8"/>
        <v>#VALUE!</v>
      </c>
      <c r="J157" s="66"/>
      <c r="K157" s="67"/>
      <c r="L157" s="67"/>
    </row>
    <row r="158" spans="1:12" ht="46.5" customHeight="1">
      <c r="A158" s="183" t="s">
        <v>369</v>
      </c>
      <c r="B158" s="173" t="s">
        <v>370</v>
      </c>
      <c r="C158" s="165" t="e">
        <f>SUMIF('[2]AGGREGATION to PREAGG_Migration'!A:A,A158,'[2]AGGREGATION to PREAGG_Migration'!D:D)+SUMIF('[2]SR12E&amp;SR7_Card Expansion'!A:A,A158,'[2]SR12E&amp;SR7_Card Expansion'!D:D)+SUMIF('[2]IXR Card Expansion'!A:A,A158,'[2]IXR Card Expansion'!D:D)+SUMIF([2]PREAGG_v2_SR7B!A:A,A158,[2]PREAGG_v2_SR7B!D:D)+SUMIF([2]PREAGG_IXR_R6v2!A:A,A158,[2]PREAGG_IXR_R6v2!D:D)+SUMIF([2]CSG_V1!A:A,A158,[2]CSG_V1!D:D)+SUMIF([2]ESA!A:A,A158,[2]ESA!D:D)+SUMIF([2]Accessories!A:A,A158,[2]Accessories!D:D)</f>
        <v>#VALUE!</v>
      </c>
      <c r="D158" s="165"/>
      <c r="E158" s="52" t="s">
        <v>371</v>
      </c>
      <c r="F158" s="14" t="s">
        <v>372</v>
      </c>
      <c r="G158" s="73">
        <v>1</v>
      </c>
      <c r="H158" s="176"/>
      <c r="I158" t="e">
        <f t="shared" ref="I158:I163" si="9">$C$158*G158</f>
        <v>#VALUE!</v>
      </c>
      <c r="J158" s="66"/>
      <c r="K158" s="67"/>
      <c r="L158" s="67"/>
    </row>
    <row r="159" spans="1:12" ht="15" customHeight="1">
      <c r="A159" s="183"/>
      <c r="B159" s="174"/>
      <c r="C159" s="166"/>
      <c r="D159" s="166"/>
      <c r="E159" s="52" t="s">
        <v>373</v>
      </c>
      <c r="F159" s="14" t="s">
        <v>374</v>
      </c>
      <c r="G159" s="73">
        <v>2</v>
      </c>
      <c r="H159" s="177"/>
      <c r="I159" t="e">
        <f t="shared" si="9"/>
        <v>#VALUE!</v>
      </c>
      <c r="J159" s="66"/>
      <c r="K159" s="67"/>
      <c r="L159" s="67"/>
    </row>
    <row r="160" spans="1:12" ht="30">
      <c r="A160" s="183"/>
      <c r="B160" s="174"/>
      <c r="C160" s="166"/>
      <c r="D160" s="166"/>
      <c r="E160" s="52" t="s">
        <v>246</v>
      </c>
      <c r="F160" s="14" t="s">
        <v>247</v>
      </c>
      <c r="G160" s="73">
        <v>4</v>
      </c>
      <c r="H160" s="177"/>
      <c r="I160" t="e">
        <f t="shared" si="9"/>
        <v>#VALUE!</v>
      </c>
      <c r="J160" s="66"/>
      <c r="K160" s="67"/>
      <c r="L160" s="67"/>
    </row>
    <row r="161" spans="1:12" ht="30">
      <c r="A161" s="183"/>
      <c r="B161" s="174"/>
      <c r="C161" s="166"/>
      <c r="D161" s="166"/>
      <c r="E161" s="52" t="s">
        <v>314</v>
      </c>
      <c r="F161" s="14" t="s">
        <v>315</v>
      </c>
      <c r="G161" s="73">
        <v>45</v>
      </c>
      <c r="H161" s="177"/>
      <c r="I161" t="e">
        <f t="shared" si="9"/>
        <v>#VALUE!</v>
      </c>
      <c r="J161" s="66"/>
      <c r="K161" s="67"/>
      <c r="L161" s="67"/>
    </row>
    <row r="162" spans="1:12" ht="30">
      <c r="A162" s="183"/>
      <c r="B162" s="174"/>
      <c r="C162" s="166"/>
      <c r="D162" s="166"/>
      <c r="E162" s="52" t="s">
        <v>316</v>
      </c>
      <c r="F162" s="14" t="s">
        <v>317</v>
      </c>
      <c r="G162" s="73">
        <v>13</v>
      </c>
      <c r="H162" s="177"/>
      <c r="I162" t="e">
        <f t="shared" si="9"/>
        <v>#VALUE!</v>
      </c>
      <c r="J162" s="66"/>
      <c r="K162" s="67"/>
      <c r="L162" s="67"/>
    </row>
    <row r="163" spans="1:12" ht="30">
      <c r="A163" s="183"/>
      <c r="B163" s="175"/>
      <c r="C163" s="167"/>
      <c r="D163" s="167"/>
      <c r="E163" s="52" t="s">
        <v>318</v>
      </c>
      <c r="F163" s="14" t="s">
        <v>319</v>
      </c>
      <c r="G163" s="73">
        <v>6</v>
      </c>
      <c r="H163" s="178"/>
      <c r="I163" t="e">
        <f t="shared" si="9"/>
        <v>#VALUE!</v>
      </c>
      <c r="J163" s="66"/>
      <c r="K163" s="67"/>
      <c r="L163" s="67"/>
    </row>
    <row r="164" spans="1:12">
      <c r="A164" s="20" t="s">
        <v>371</v>
      </c>
      <c r="B164" s="41" t="s">
        <v>372</v>
      </c>
      <c r="C164" s="10" t="e">
        <f>SUMIF('[2]AGGREGATION to PREAGG_Migration'!A:A,A164,'[2]AGGREGATION to PREAGG_Migration'!D:D)+SUMIF('[2]SR12E&amp;SR7_Card Expansion'!A:A,A164,'[2]SR12E&amp;SR7_Card Expansion'!D:D)+SUMIF('[2]IXR Card Expansion'!A:A,A164,'[2]IXR Card Expansion'!D:D)+SUMIF([2]PREAGG_v2_SR7B!A:A,A164,[2]PREAGG_v2_SR7B!D:D)+SUMIF([2]PREAGG_IXR_R6v2!A:A,A164,[2]PREAGG_IXR_R6v2!D:D)+SUMIF([2]CSG_V1!A:A,A164,[2]CSG_V1!D:D)+SUMIF([2]ESA!A:A,A164,[2]ESA!D:D)+SUMIF([2]Accessories!A:A,A164,[2]Accessories!D:D)</f>
        <v>#VALUE!</v>
      </c>
      <c r="D164" s="10"/>
      <c r="E164" s="34" t="s">
        <v>371</v>
      </c>
      <c r="F164" s="46" t="s">
        <v>372</v>
      </c>
      <c r="G164" s="77">
        <v>1</v>
      </c>
      <c r="H164" s="42"/>
      <c r="I164" s="7" t="e">
        <f>C164*G164</f>
        <v>#VALUE!</v>
      </c>
      <c r="J164" s="66"/>
      <c r="K164" s="67"/>
      <c r="L164" s="67"/>
    </row>
    <row r="165" spans="1:12" ht="36" customHeight="1">
      <c r="A165" s="13" t="s">
        <v>373</v>
      </c>
      <c r="B165" s="27" t="s">
        <v>374</v>
      </c>
      <c r="C165" s="10" t="e">
        <f>SUMIF('[2]AGGREGATION to PREAGG_Migration'!A:A,A165,'[2]AGGREGATION to PREAGG_Migration'!D:D)+SUMIF('[2]SR12E&amp;SR7_Card Expansion'!A:A,A165,'[2]SR12E&amp;SR7_Card Expansion'!D:D)+SUMIF('[2]IXR Card Expansion'!A:A,A165,'[2]IXR Card Expansion'!D:D)+SUMIF([2]PREAGG_v2_SR7B!A:A,A165,[2]PREAGG_v2_SR7B!D:D)+SUMIF([2]PREAGG_IXR_R6v2!A:A,A165,[2]PREAGG_IXR_R6v2!D:D)+SUMIF([2]CSG_V1!A:A,A165,[2]CSG_V1!D:D)+SUMIF([2]ESA!A:A,A165,[2]ESA!D:D)+SUMIF([2]Accessories!A:A,A165,[2]Accessories!D:D)</f>
        <v>#VALUE!</v>
      </c>
      <c r="D165" s="9"/>
      <c r="E165" s="52" t="s">
        <v>373</v>
      </c>
      <c r="F165" s="14" t="s">
        <v>374</v>
      </c>
      <c r="G165" s="73">
        <v>1</v>
      </c>
      <c r="H165" s="42"/>
      <c r="I165" s="7" t="e">
        <f>C165*G165</f>
        <v>#VALUE!</v>
      </c>
      <c r="J165" s="66"/>
      <c r="K165" s="67"/>
      <c r="L165" s="67"/>
    </row>
    <row r="166" spans="1:12">
      <c r="A166" s="171" t="s">
        <v>375</v>
      </c>
      <c r="B166" s="173" t="s">
        <v>376</v>
      </c>
      <c r="C166" s="165" t="e">
        <f>SUMIF('[2]AGGREGATION to PREAGG_Migration'!A:A,A166,'[2]AGGREGATION to PREAGG_Migration'!D:D)+SUMIF('[2]SR12E&amp;SR7_Card Expansion'!A:A,A166,'[2]SR12E&amp;SR7_Card Expansion'!D:D)+SUMIF('[2]IXR Card Expansion'!A:A,A166,'[2]IXR Card Expansion'!D:D)+SUMIF([2]PREAGG_v2_SR7B!A:A,A166,[2]PREAGG_v2_SR7B!D:D)+SUMIF([2]PREAGG_IXR_R6v2!A:A,A166,[2]PREAGG_IXR_R6v2!D:D)+SUMIF([2]CSG_V1!A:A,A166,[2]CSG_V1!D:D)+SUMIF([2]ESA!A:A,A166,[2]ESA!D:D)+SUMIF([2]Accessories!A:A,A166,[2]Accessories!D:D)</f>
        <v>#VALUE!</v>
      </c>
      <c r="D166" s="165"/>
      <c r="E166" s="36" t="s">
        <v>377</v>
      </c>
      <c r="F166" s="14" t="s">
        <v>378</v>
      </c>
      <c r="G166" s="73">
        <v>1</v>
      </c>
      <c r="H166" s="176"/>
      <c r="I166" t="e">
        <f>$C$166*G166</f>
        <v>#VALUE!</v>
      </c>
      <c r="J166" s="66"/>
      <c r="K166" s="67"/>
      <c r="L166" s="67"/>
    </row>
    <row r="167" spans="1:12" ht="15" customHeight="1">
      <c r="A167" s="172"/>
      <c r="B167" s="174"/>
      <c r="C167" s="166"/>
      <c r="D167" s="166"/>
      <c r="E167" s="36" t="s">
        <v>264</v>
      </c>
      <c r="F167" s="14" t="s">
        <v>197</v>
      </c>
      <c r="G167" s="73">
        <v>1</v>
      </c>
      <c r="H167" s="177"/>
      <c r="I167" t="e">
        <f t="shared" ref="I167:I172" si="10">$C$166*G167</f>
        <v>#VALUE!</v>
      </c>
      <c r="J167" s="66"/>
      <c r="K167" s="67"/>
      <c r="L167" s="67"/>
    </row>
    <row r="168" spans="1:12">
      <c r="A168" s="172"/>
      <c r="B168" s="174"/>
      <c r="C168" s="166"/>
      <c r="D168" s="166"/>
      <c r="E168" s="36" t="s">
        <v>203</v>
      </c>
      <c r="F168" s="14" t="s">
        <v>204</v>
      </c>
      <c r="G168" s="73">
        <v>1</v>
      </c>
      <c r="H168" s="177"/>
      <c r="I168" t="e">
        <f t="shared" si="10"/>
        <v>#VALUE!</v>
      </c>
      <c r="J168" s="66"/>
      <c r="K168" s="67"/>
      <c r="L168" s="67"/>
    </row>
    <row r="169" spans="1:12">
      <c r="A169" s="172"/>
      <c r="B169" s="174"/>
      <c r="C169" s="166"/>
      <c r="D169" s="166"/>
      <c r="E169" s="37" t="s">
        <v>265</v>
      </c>
      <c r="F169" s="14" t="s">
        <v>266</v>
      </c>
      <c r="G169" s="73">
        <v>1</v>
      </c>
      <c r="H169" s="177"/>
      <c r="I169" t="e">
        <f t="shared" si="10"/>
        <v>#VALUE!</v>
      </c>
      <c r="J169" s="66"/>
      <c r="K169" s="67"/>
      <c r="L169" s="67"/>
    </row>
    <row r="170" spans="1:12">
      <c r="A170" s="172"/>
      <c r="B170" s="174"/>
      <c r="C170" s="166"/>
      <c r="D170" s="166"/>
      <c r="E170" s="37" t="s">
        <v>267</v>
      </c>
      <c r="F170" s="14" t="s">
        <v>268</v>
      </c>
      <c r="G170" s="73">
        <v>1</v>
      </c>
      <c r="H170" s="177"/>
      <c r="I170" t="e">
        <f t="shared" si="10"/>
        <v>#VALUE!</v>
      </c>
      <c r="J170" s="66"/>
      <c r="K170" s="67"/>
      <c r="L170" s="67"/>
    </row>
    <row r="171" spans="1:12" ht="30">
      <c r="A171" s="172"/>
      <c r="B171" s="174"/>
      <c r="C171" s="166"/>
      <c r="D171" s="166"/>
      <c r="E171" s="37" t="s">
        <v>221</v>
      </c>
      <c r="F171" s="14" t="s">
        <v>222</v>
      </c>
      <c r="G171" s="73">
        <v>1</v>
      </c>
      <c r="H171" s="177"/>
      <c r="I171" t="e">
        <f t="shared" si="10"/>
        <v>#VALUE!</v>
      </c>
      <c r="J171" s="66"/>
      <c r="K171" s="67"/>
      <c r="L171" s="67"/>
    </row>
    <row r="172" spans="1:12" ht="30">
      <c r="A172" s="179"/>
      <c r="B172" s="175"/>
      <c r="C172" s="167"/>
      <c r="D172" s="167"/>
      <c r="E172" s="37" t="s">
        <v>238</v>
      </c>
      <c r="F172" s="14" t="s">
        <v>239</v>
      </c>
      <c r="G172" s="73">
        <v>1</v>
      </c>
      <c r="H172" s="178"/>
      <c r="I172" t="e">
        <f t="shared" si="10"/>
        <v>#VALUE!</v>
      </c>
      <c r="J172" s="66"/>
      <c r="K172" s="67"/>
      <c r="L172" s="67"/>
    </row>
    <row r="173" spans="1:12" s="7" customFormat="1">
      <c r="A173" s="149" t="s">
        <v>379</v>
      </c>
      <c r="B173" s="150" t="s">
        <v>380</v>
      </c>
      <c r="C173" s="165" t="e">
        <f>SUMIF('[2]AGGREGATION to PREAGG_Migration'!A:A,A173,'[2]AGGREGATION to PREAGG_Migration'!D:D)+SUMIF('[2]SR12E&amp;SR7_Card Expansion'!A:A,A173,'[2]SR12E&amp;SR7_Card Expansion'!D:D)+SUMIF('[2]IXR Card Expansion'!A:A,A173,'[2]IXR Card Expansion'!D:D)+SUMIF([2]PREAGG_v2_SR7B!A:A,A173,[2]PREAGG_v2_SR7B!D:D)+SUMIF([2]PREAGG_IXR_R6v2!A:A,A173,[2]PREAGG_IXR_R6v2!D:D)+SUMIF([2]CSG_V1!A:A,A173,[2]CSG_V1!D:D)+SUMIF([2]ESA!A:A,A173,[2]ESA!D:D)+SUMIF([2]Accessories!A:A,A173,[2]Accessories!D:D)</f>
        <v>#VALUE!</v>
      </c>
      <c r="D173" s="153"/>
      <c r="E173" s="35" t="s">
        <v>381</v>
      </c>
      <c r="F173" s="46" t="s">
        <v>382</v>
      </c>
      <c r="G173" s="77">
        <v>1</v>
      </c>
      <c r="H173" s="156"/>
      <c r="I173" s="7" t="e">
        <f>$C$173*G173</f>
        <v>#VALUE!</v>
      </c>
      <c r="J173" s="66"/>
      <c r="K173" s="67"/>
      <c r="L173" s="67"/>
    </row>
    <row r="174" spans="1:12">
      <c r="A174" s="149"/>
      <c r="B174" s="151"/>
      <c r="C174" s="166"/>
      <c r="D174" s="154"/>
      <c r="E174" s="35" t="s">
        <v>264</v>
      </c>
      <c r="F174" s="46" t="s">
        <v>197</v>
      </c>
      <c r="G174" s="77">
        <v>1</v>
      </c>
      <c r="H174" s="157"/>
      <c r="I174" s="7" t="e">
        <f t="shared" ref="I174:I179" si="11">$C$173*G174</f>
        <v>#VALUE!</v>
      </c>
      <c r="J174" s="66"/>
      <c r="K174" s="67"/>
      <c r="L174" s="67"/>
    </row>
    <row r="175" spans="1:12" ht="30" customHeight="1">
      <c r="A175" s="149"/>
      <c r="B175" s="151"/>
      <c r="C175" s="166"/>
      <c r="D175" s="154"/>
      <c r="E175" s="35" t="s">
        <v>203</v>
      </c>
      <c r="F175" s="46" t="s">
        <v>204</v>
      </c>
      <c r="G175" s="77">
        <v>1</v>
      </c>
      <c r="H175" s="157"/>
      <c r="I175" s="7" t="e">
        <f t="shared" si="11"/>
        <v>#VALUE!</v>
      </c>
      <c r="J175" s="66"/>
      <c r="K175" s="67"/>
      <c r="L175" s="67"/>
    </row>
    <row r="176" spans="1:12">
      <c r="A176" s="149"/>
      <c r="B176" s="151"/>
      <c r="C176" s="166"/>
      <c r="D176" s="154"/>
      <c r="E176" s="34" t="s">
        <v>265</v>
      </c>
      <c r="F176" s="46" t="s">
        <v>266</v>
      </c>
      <c r="G176" s="77">
        <v>1</v>
      </c>
      <c r="H176" s="157"/>
      <c r="I176" s="7" t="e">
        <f t="shared" si="11"/>
        <v>#VALUE!</v>
      </c>
      <c r="J176" s="66"/>
      <c r="K176" s="67"/>
      <c r="L176" s="67"/>
    </row>
    <row r="177" spans="1:12">
      <c r="A177" s="149"/>
      <c r="B177" s="151"/>
      <c r="C177" s="166"/>
      <c r="D177" s="154"/>
      <c r="E177" s="34" t="s">
        <v>267</v>
      </c>
      <c r="F177" s="46" t="s">
        <v>268</v>
      </c>
      <c r="G177" s="77">
        <v>1</v>
      </c>
      <c r="H177" s="157"/>
      <c r="I177" s="7" t="e">
        <f t="shared" si="11"/>
        <v>#VALUE!</v>
      </c>
      <c r="J177" s="66"/>
      <c r="K177" s="67"/>
      <c r="L177" s="67"/>
    </row>
    <row r="178" spans="1:12" ht="30">
      <c r="A178" s="149"/>
      <c r="B178" s="151"/>
      <c r="C178" s="166"/>
      <c r="D178" s="154"/>
      <c r="E178" s="34" t="s">
        <v>221</v>
      </c>
      <c r="F178" s="46" t="s">
        <v>222</v>
      </c>
      <c r="G178" s="77">
        <v>1</v>
      </c>
      <c r="H178" s="157"/>
      <c r="I178" s="7" t="e">
        <f t="shared" si="11"/>
        <v>#VALUE!</v>
      </c>
      <c r="J178" s="66"/>
      <c r="K178" s="67"/>
      <c r="L178" s="67"/>
    </row>
    <row r="179" spans="1:12" ht="30">
      <c r="A179" s="149"/>
      <c r="B179" s="152"/>
      <c r="C179" s="167"/>
      <c r="D179" s="155"/>
      <c r="E179" s="34" t="s">
        <v>238</v>
      </c>
      <c r="F179" s="46" t="s">
        <v>239</v>
      </c>
      <c r="G179" s="77">
        <v>1</v>
      </c>
      <c r="H179" s="158"/>
      <c r="I179" s="7" t="e">
        <f t="shared" si="11"/>
        <v>#VALUE!</v>
      </c>
      <c r="J179" s="66"/>
      <c r="K179" s="67"/>
      <c r="L179" s="67"/>
    </row>
    <row r="180" spans="1:12">
      <c r="A180" s="171" t="s">
        <v>383</v>
      </c>
      <c r="B180" s="173" t="s">
        <v>384</v>
      </c>
      <c r="C180" s="165" t="e">
        <f>SUMIF('[2]AGGREGATION to PREAGG_Migration'!A:A,A180,'[2]AGGREGATION to PREAGG_Migration'!D:D)+SUMIF('[2]SR12E&amp;SR7_Card Expansion'!A:A,A180,'[2]SR12E&amp;SR7_Card Expansion'!D:D)+SUMIF('[2]IXR Card Expansion'!A:A,A180,'[2]IXR Card Expansion'!D:D)+SUMIF([2]PREAGG_v2_SR7B!A:A,A180,[2]PREAGG_v2_SR7B!D:D)+SUMIF([2]PREAGG_IXR_R6v2!A:A,A180,[2]PREAGG_IXR_R6v2!D:D)+SUMIF([2]CSG_V1!A:A,A180,[2]CSG_V1!D:D)+SUMIF([2]ESA!A:A,A180,[2]ESA!D:D)+SUMIF([2]Accessories!A:A,A180,[2]Accessories!D:D)</f>
        <v>#VALUE!</v>
      </c>
      <c r="D180" s="165"/>
      <c r="E180" s="52" t="s">
        <v>385</v>
      </c>
      <c r="F180" s="14" t="s">
        <v>386</v>
      </c>
      <c r="G180" s="73">
        <v>1</v>
      </c>
      <c r="H180" s="176"/>
      <c r="I180" t="e">
        <f>$C$180*G180</f>
        <v>#VALUE!</v>
      </c>
      <c r="J180" s="66"/>
      <c r="K180" s="67"/>
      <c r="L180" s="67"/>
    </row>
    <row r="181" spans="1:12">
      <c r="A181" s="172"/>
      <c r="B181" s="174"/>
      <c r="C181" s="166"/>
      <c r="D181" s="166"/>
      <c r="E181" s="52" t="s">
        <v>387</v>
      </c>
      <c r="F181" s="14" t="s">
        <v>388</v>
      </c>
      <c r="G181" s="73">
        <v>2</v>
      </c>
      <c r="H181" s="177"/>
      <c r="I181" t="e">
        <f>$C$180*G181</f>
        <v>#VALUE!</v>
      </c>
      <c r="J181" s="66"/>
      <c r="K181" s="67"/>
      <c r="L181" s="67"/>
    </row>
    <row r="182" spans="1:12" s="7" customFormat="1" ht="15" customHeight="1">
      <c r="A182" s="172"/>
      <c r="B182" s="174"/>
      <c r="C182" s="166"/>
      <c r="D182" s="166"/>
      <c r="E182" s="52" t="s">
        <v>389</v>
      </c>
      <c r="F182" s="14" t="s">
        <v>390</v>
      </c>
      <c r="G182" s="73">
        <v>1</v>
      </c>
      <c r="H182" s="177"/>
      <c r="I182" t="e">
        <f>$C$180*G182</f>
        <v>#VALUE!</v>
      </c>
      <c r="J182" s="66"/>
      <c r="K182" s="67"/>
      <c r="L182" s="67"/>
    </row>
    <row r="183" spans="1:12" s="7" customFormat="1">
      <c r="A183" s="172"/>
      <c r="B183" s="174"/>
      <c r="C183" s="166"/>
      <c r="D183" s="166"/>
      <c r="E183" s="52" t="s">
        <v>391</v>
      </c>
      <c r="F183" s="14" t="s">
        <v>392</v>
      </c>
      <c r="G183" s="73">
        <v>3</v>
      </c>
      <c r="H183" s="177"/>
      <c r="I183" t="e">
        <f>$C$180*G183</f>
        <v>#VALUE!</v>
      </c>
      <c r="J183" s="66"/>
      <c r="K183" s="67"/>
      <c r="L183" s="67"/>
    </row>
    <row r="184" spans="1:12" s="7" customFormat="1">
      <c r="A184" s="80"/>
      <c r="B184" s="175"/>
      <c r="C184" s="167"/>
      <c r="D184" s="167"/>
      <c r="E184" s="31" t="s">
        <v>393</v>
      </c>
      <c r="F184" s="14" t="s">
        <v>394</v>
      </c>
      <c r="G184" s="9">
        <v>1</v>
      </c>
      <c r="H184" s="178"/>
      <c r="I184" t="e">
        <f>$C$180*G184</f>
        <v>#VALUE!</v>
      </c>
      <c r="J184" s="66"/>
      <c r="K184" s="67"/>
      <c r="L184" s="67"/>
    </row>
    <row r="185" spans="1:12" s="7" customFormat="1">
      <c r="A185" s="20" t="s">
        <v>395</v>
      </c>
      <c r="B185" s="41" t="s">
        <v>396</v>
      </c>
      <c r="C185" s="10" t="e">
        <f>SUMIF('[2]AGGREGATION to PREAGG_Migration'!A:A,A185,'[2]AGGREGATION to PREAGG_Migration'!D:D)+SUMIF('[2]SR12E&amp;SR7_Card Expansion'!A:A,A185,'[2]SR12E&amp;SR7_Card Expansion'!D:D)+SUMIF('[2]IXR Card Expansion'!A:A,A185,'[2]IXR Card Expansion'!D:D)+SUMIF([2]PREAGG_v2_SR7B!A:A,A185,[2]PREAGG_v2_SR7B!D:D)+SUMIF([2]PREAGG_IXR_R6v2!A:A,A185,[2]PREAGG_IXR_R6v2!D:D)+SUMIF([2]CSG_V1!A:A,A185,[2]CSG_V1!D:D)+SUMIF([2]ESA!A:A,A185,[2]ESA!D:D)+SUMIF([2]Accessories!A:A,A185,[2]Accessories!D:D)</f>
        <v>#VALUE!</v>
      </c>
      <c r="D185" s="10"/>
      <c r="E185" s="32" t="s">
        <v>395</v>
      </c>
      <c r="F185" s="46" t="s">
        <v>396</v>
      </c>
      <c r="G185" s="77">
        <v>1</v>
      </c>
      <c r="H185" s="49"/>
      <c r="I185" s="6" t="e">
        <f>C185*G185</f>
        <v>#VALUE!</v>
      </c>
      <c r="J185" s="66"/>
      <c r="K185" s="67"/>
      <c r="L185" s="67"/>
    </row>
    <row r="186" spans="1:12" s="7" customFormat="1" ht="30">
      <c r="A186" s="18" t="s">
        <v>397</v>
      </c>
      <c r="B186" s="26" t="s">
        <v>398</v>
      </c>
      <c r="C186" s="10" t="e">
        <f>SUMIF('[2]AGGREGATION to PREAGG_Migration'!A:A,A186,'[2]AGGREGATION to PREAGG_Migration'!D:D)+SUMIF('[2]SR12E&amp;SR7_Card Expansion'!A:A,A186,'[2]SR12E&amp;SR7_Card Expansion'!D:D)+SUMIF('[2]IXR Card Expansion'!A:A,A186,'[2]IXR Card Expansion'!D:D)+SUMIF([2]PREAGG_v2_SR7B!A:A,A186,[2]PREAGG_v2_SR7B!D:D)+SUMIF([2]PREAGG_IXR_R6v2!A:A,A186,[2]PREAGG_IXR_R6v2!D:D)+SUMIF([2]CSG_V1!A:A,A186,[2]CSG_V1!D:D)+SUMIF([2]ESA!A:A,A186,[2]ESA!D:D)+SUMIF([2]Accessories!A:A,A186,[2]Accessories!D:D)</f>
        <v>#VALUE!</v>
      </c>
      <c r="D186" s="9"/>
      <c r="E186" s="30" t="s">
        <v>397</v>
      </c>
      <c r="F186" s="14" t="s">
        <v>398</v>
      </c>
      <c r="G186" s="73">
        <v>1</v>
      </c>
      <c r="H186" s="49"/>
      <c r="I186" s="6" t="e">
        <f t="shared" ref="I186:I204" si="12">C186*G186</f>
        <v>#VALUE!</v>
      </c>
      <c r="J186" s="66"/>
      <c r="K186" s="67"/>
      <c r="L186" s="67"/>
    </row>
    <row r="187" spans="1:12" s="7" customFormat="1" ht="30">
      <c r="A187" s="20" t="s">
        <v>219</v>
      </c>
      <c r="B187" s="41" t="s">
        <v>220</v>
      </c>
      <c r="C187" s="10" t="e">
        <f>SUMIF('[2]AGGREGATION to PREAGG_Migration'!A:A,A187,'[2]AGGREGATION to PREAGG_Migration'!D:D)+SUMIF('[2]SR12E&amp;SR7_Card Expansion'!A:A,A187,'[2]SR12E&amp;SR7_Card Expansion'!D:D)+SUMIF('[2]IXR Card Expansion'!A:A,A187,'[2]IXR Card Expansion'!D:D)+SUMIF([2]PREAGG_v2_SR7B!A:A,A187,[2]PREAGG_v2_SR7B!D:D)+SUMIF([2]PREAGG_IXR_R6v2!A:A,A187,[2]PREAGG_IXR_R6v2!D:D)+SUMIF([2]CSG_V1!A:A,A187,[2]CSG_V1!D:D)+SUMIF([2]ESA!A:A,A187,[2]ESA!D:D)+SUMIF([2]Accessories!A:A,A187,[2]Accessories!D:D)</f>
        <v>#VALUE!</v>
      </c>
      <c r="D187" s="10"/>
      <c r="E187" s="32" t="s">
        <v>219</v>
      </c>
      <c r="F187" s="46" t="s">
        <v>220</v>
      </c>
      <c r="G187" s="77">
        <v>1</v>
      </c>
      <c r="H187" s="49"/>
      <c r="I187" s="6" t="e">
        <f t="shared" si="12"/>
        <v>#VALUE!</v>
      </c>
      <c r="J187" s="66"/>
      <c r="K187" s="67"/>
      <c r="L187" s="67"/>
    </row>
    <row r="188" spans="1:12" s="7" customFormat="1" ht="30">
      <c r="A188" s="20" t="s">
        <v>399</v>
      </c>
      <c r="B188" s="41" t="s">
        <v>400</v>
      </c>
      <c r="C188" s="10" t="e">
        <f>SUMIF('[2]AGGREGATION to PREAGG_Migration'!A:A,A188,'[2]AGGREGATION to PREAGG_Migration'!D:D)+SUMIF('[2]SR12E&amp;SR7_Card Expansion'!A:A,A188,'[2]SR12E&amp;SR7_Card Expansion'!D:D)+SUMIF('[2]IXR Card Expansion'!A:A,A188,'[2]IXR Card Expansion'!D:D)+SUMIF([2]PREAGG_v2_SR7B!A:A,A188,[2]PREAGG_v2_SR7B!D:D)+SUMIF([2]PREAGG_IXR_R6v2!A:A,A188,[2]PREAGG_IXR_R6v2!D:D)+SUMIF([2]CSG_V1!A:A,A188,[2]CSG_V1!D:D)+SUMIF([2]ESA!A:A,A188,[2]ESA!D:D)+SUMIF([2]Accessories!A:A,A188,[2]Accessories!D:D)</f>
        <v>#VALUE!</v>
      </c>
      <c r="D188" s="10"/>
      <c r="E188" s="20" t="s">
        <v>399</v>
      </c>
      <c r="F188" s="41" t="s">
        <v>400</v>
      </c>
      <c r="G188" s="77">
        <v>1</v>
      </c>
      <c r="H188" s="49"/>
      <c r="I188" s="6" t="e">
        <f>C188*G188</f>
        <v>#VALUE!</v>
      </c>
      <c r="J188" s="66"/>
      <c r="K188" s="67"/>
      <c r="L188" s="67"/>
    </row>
    <row r="189" spans="1:12" ht="30">
      <c r="A189" s="18" t="s">
        <v>246</v>
      </c>
      <c r="B189" s="26" t="s">
        <v>247</v>
      </c>
      <c r="C189" s="10" t="e">
        <f>SUMIF('[2]AGGREGATION to PREAGG_Migration'!A:A,A189,'[2]AGGREGATION to PREAGG_Migration'!D:D)+SUMIF('[2]SR12E&amp;SR7_Card Expansion'!A:A,A189,'[2]SR12E&amp;SR7_Card Expansion'!D:D)+SUMIF('[2]IXR Card Expansion'!A:A,A189,'[2]IXR Card Expansion'!D:D)+SUMIF([2]PREAGG_v2_SR7B!A:A,A189,[2]PREAGG_v2_SR7B!D:D)+SUMIF([2]PREAGG_IXR_R6v2!A:A,A189,[2]PREAGG_IXR_R6v2!D:D)+SUMIF([2]CSG_V1!A:A,A189,[2]CSG_V1!D:D)+SUMIF([2]ESA!A:A,A189,[2]ESA!D:D)+SUMIF([2]Accessories!A:A,A189,[2]Accessories!D:D)</f>
        <v>#VALUE!</v>
      </c>
      <c r="D189" s="9"/>
      <c r="E189" s="30" t="s">
        <v>246</v>
      </c>
      <c r="F189" s="14" t="s">
        <v>247</v>
      </c>
      <c r="G189" s="73">
        <v>1</v>
      </c>
      <c r="H189" s="49"/>
      <c r="I189" s="6" t="e">
        <f t="shared" si="12"/>
        <v>#VALUE!</v>
      </c>
      <c r="J189" s="66"/>
      <c r="K189" s="67"/>
      <c r="L189" s="67"/>
    </row>
    <row r="190" spans="1:12" ht="15" customHeight="1">
      <c r="A190" s="20" t="s">
        <v>221</v>
      </c>
      <c r="B190" s="41" t="s">
        <v>222</v>
      </c>
      <c r="C190" s="10" t="e">
        <f>SUMIF('[2]AGGREGATION to PREAGG_Migration'!A:A,A190,'[2]AGGREGATION to PREAGG_Migration'!D:D)+SUMIF('[2]SR12E&amp;SR7_Card Expansion'!A:A,A190,'[2]SR12E&amp;SR7_Card Expansion'!D:D)+SUMIF('[2]IXR Card Expansion'!A:A,A190,'[2]IXR Card Expansion'!D:D)+SUMIF([2]PREAGG_v2_SR7B!A:A,A190,[2]PREAGG_v2_SR7B!D:D)+SUMIF([2]PREAGG_IXR_R6v2!A:A,A190,[2]PREAGG_IXR_R6v2!D:D)+SUMIF([2]CSG_V1!A:A,A190,[2]CSG_V1!D:D)+SUMIF([2]ESA!A:A,A190,[2]ESA!D:D)+SUMIF([2]Accessories!A:A,A190,[2]Accessories!D:D)</f>
        <v>#VALUE!</v>
      </c>
      <c r="D190" s="10"/>
      <c r="E190" s="32" t="s">
        <v>221</v>
      </c>
      <c r="F190" s="46" t="s">
        <v>222</v>
      </c>
      <c r="G190" s="10">
        <v>1</v>
      </c>
      <c r="H190" s="49"/>
      <c r="I190" s="6" t="e">
        <f t="shared" si="12"/>
        <v>#VALUE!</v>
      </c>
      <c r="J190" s="66"/>
      <c r="K190" s="67"/>
      <c r="L190" s="67"/>
    </row>
    <row r="191" spans="1:12" ht="30">
      <c r="A191" s="18" t="s">
        <v>279</v>
      </c>
      <c r="B191" s="26" t="s">
        <v>280</v>
      </c>
      <c r="C191" s="10" t="e">
        <f>SUMIF('[2]AGGREGATION to PREAGG_Migration'!A:A,A191,'[2]AGGREGATION to PREAGG_Migration'!D:D)+SUMIF('[2]SR12E&amp;SR7_Card Expansion'!A:A,A191,'[2]SR12E&amp;SR7_Card Expansion'!D:D)+SUMIF('[2]IXR Card Expansion'!A:A,A191,'[2]IXR Card Expansion'!D:D)+SUMIF([2]PREAGG_v2_SR7B!A:A,A191,[2]PREAGG_v2_SR7B!D:D)+SUMIF([2]PREAGG_IXR_R6v2!A:A,A191,[2]PREAGG_IXR_R6v2!D:D)+SUMIF([2]CSG_V1!A:A,A191,[2]CSG_V1!D:D)+SUMIF([2]ESA!A:A,A191,[2]ESA!D:D)+SUMIF([2]Accessories!A:A,A191,[2]Accessories!D:D)</f>
        <v>#VALUE!</v>
      </c>
      <c r="D191" s="9"/>
      <c r="E191" s="30" t="s">
        <v>279</v>
      </c>
      <c r="F191" s="14" t="s">
        <v>280</v>
      </c>
      <c r="G191" s="73">
        <v>1</v>
      </c>
      <c r="H191" s="49"/>
      <c r="I191" s="6" t="e">
        <f t="shared" si="12"/>
        <v>#VALUE!</v>
      </c>
      <c r="J191" s="66"/>
      <c r="K191" s="67"/>
      <c r="L191" s="67"/>
    </row>
    <row r="192" spans="1:12" ht="30">
      <c r="A192" s="20" t="s">
        <v>401</v>
      </c>
      <c r="B192" s="41" t="s">
        <v>402</v>
      </c>
      <c r="C192" s="10" t="e">
        <f>SUMIF('[2]AGGREGATION to PREAGG_Migration'!A:A,A192,'[2]AGGREGATION to PREAGG_Migration'!D:D)+SUMIF('[2]SR12E&amp;SR7_Card Expansion'!A:A,A192,'[2]SR12E&amp;SR7_Card Expansion'!D:D)+SUMIF('[2]IXR Card Expansion'!A:A,A192,'[2]IXR Card Expansion'!D:D)+SUMIF([2]PREAGG_v2_SR7B!A:A,A192,[2]PREAGG_v2_SR7B!D:D)+SUMIF([2]PREAGG_IXR_R6v2!A:A,A192,[2]PREAGG_IXR_R6v2!D:D)+SUMIF([2]CSG_V1!A:A,A192,[2]CSG_V1!D:D)+SUMIF([2]ESA!A:A,A192,[2]ESA!D:D)+SUMIF([2]Accessories!A:A,A192,[2]Accessories!D:D)</f>
        <v>#VALUE!</v>
      </c>
      <c r="D192" s="10"/>
      <c r="E192" s="32" t="s">
        <v>401</v>
      </c>
      <c r="F192" s="46" t="s">
        <v>402</v>
      </c>
      <c r="G192" s="10">
        <v>1</v>
      </c>
      <c r="H192" s="49"/>
      <c r="I192" s="6" t="e">
        <f t="shared" si="12"/>
        <v>#VALUE!</v>
      </c>
      <c r="J192" s="66"/>
      <c r="K192" s="67"/>
      <c r="L192" s="67"/>
    </row>
    <row r="193" spans="1:12" ht="30">
      <c r="A193" s="18" t="s">
        <v>238</v>
      </c>
      <c r="B193" s="26" t="s">
        <v>239</v>
      </c>
      <c r="C193" s="10" t="e">
        <f>SUMIF('[2]AGGREGATION to PREAGG_Migration'!A:A,A193,'[2]AGGREGATION to PREAGG_Migration'!D:D)+SUMIF('[2]SR12E&amp;SR7_Card Expansion'!A:A,A193,'[2]SR12E&amp;SR7_Card Expansion'!D:D)+SUMIF('[2]IXR Card Expansion'!A:A,A193,'[2]IXR Card Expansion'!D:D)+SUMIF([2]PREAGG_v2_SR7B!A:A,A193,[2]PREAGG_v2_SR7B!D:D)+SUMIF([2]PREAGG_IXR_R6v2!A:A,A193,[2]PREAGG_IXR_R6v2!D:D)+SUMIF([2]CSG_V1!A:A,A193,[2]CSG_V1!D:D)+SUMIF([2]ESA!A:A,A193,[2]ESA!D:D)+SUMIF([2]Accessories!A:A,A193,[2]Accessories!D:D)</f>
        <v>#VALUE!</v>
      </c>
      <c r="D193" s="9"/>
      <c r="E193" s="30" t="s">
        <v>238</v>
      </c>
      <c r="F193" s="14" t="s">
        <v>239</v>
      </c>
      <c r="G193" s="73">
        <v>1</v>
      </c>
      <c r="H193" s="49"/>
      <c r="I193" s="6" t="e">
        <f t="shared" si="12"/>
        <v>#VALUE!</v>
      </c>
      <c r="J193" s="66"/>
      <c r="K193" s="67"/>
      <c r="L193" s="67"/>
    </row>
    <row r="194" spans="1:12" ht="24" customHeight="1">
      <c r="A194" s="20" t="s">
        <v>240</v>
      </c>
      <c r="B194" s="41" t="s">
        <v>241</v>
      </c>
      <c r="C194" s="10" t="e">
        <f>SUMIF('[2]AGGREGATION to PREAGG_Migration'!A:A,A194,'[2]AGGREGATION to PREAGG_Migration'!D:D)+SUMIF('[2]SR12E&amp;SR7_Card Expansion'!A:A,A194,'[2]SR12E&amp;SR7_Card Expansion'!D:D)+SUMIF('[2]IXR Card Expansion'!A:A,A194,'[2]IXR Card Expansion'!D:D)+SUMIF([2]PREAGG_v2_SR7B!A:A,A194,[2]PREAGG_v2_SR7B!D:D)+SUMIF([2]PREAGG_IXR_R6v2!A:A,A194,[2]PREAGG_IXR_R6v2!D:D)+SUMIF([2]CSG_V1!A:A,A194,[2]CSG_V1!D:D)+SUMIF([2]ESA!A:A,A194,[2]ESA!D:D)+SUMIF([2]Accessories!A:A,A194,[2]Accessories!D:D)</f>
        <v>#VALUE!</v>
      </c>
      <c r="D194" s="10"/>
      <c r="E194" s="32" t="s">
        <v>240</v>
      </c>
      <c r="F194" s="46" t="s">
        <v>241</v>
      </c>
      <c r="G194" s="10">
        <v>1</v>
      </c>
      <c r="H194" s="49"/>
      <c r="I194" s="6" t="e">
        <f t="shared" si="12"/>
        <v>#VALUE!</v>
      </c>
      <c r="J194" s="66"/>
      <c r="K194" s="67"/>
      <c r="L194" s="67"/>
    </row>
    <row r="195" spans="1:12" s="6" customFormat="1" ht="30">
      <c r="A195" s="18" t="s">
        <v>314</v>
      </c>
      <c r="B195" s="26" t="s">
        <v>315</v>
      </c>
      <c r="C195" s="10" t="e">
        <f>SUMIF('[2]AGGREGATION to PREAGG_Migration'!A:A,A195,'[2]AGGREGATION to PREAGG_Migration'!D:D)+SUMIF('[2]SR12E&amp;SR7_Card Expansion'!A:A,A195,'[2]SR12E&amp;SR7_Card Expansion'!D:D)+SUMIF('[2]IXR Card Expansion'!A:A,A195,'[2]IXR Card Expansion'!D:D)+SUMIF([2]PREAGG_v2_SR7B!A:A,A195,[2]PREAGG_v2_SR7B!D:D)+SUMIF([2]PREAGG_IXR_R6v2!A:A,A195,[2]PREAGG_IXR_R6v2!D:D)+SUMIF([2]CSG_V1!A:A,A195,[2]CSG_V1!D:D)+SUMIF([2]ESA!A:A,A195,[2]ESA!D:D)+SUMIF([2]Accessories!A:A,A195,[2]Accessories!D:D)</f>
        <v>#VALUE!</v>
      </c>
      <c r="D195" s="9"/>
      <c r="E195" s="30" t="s">
        <v>314</v>
      </c>
      <c r="F195" s="14" t="s">
        <v>315</v>
      </c>
      <c r="G195" s="73">
        <v>1</v>
      </c>
      <c r="H195" s="49"/>
      <c r="I195" s="6" t="e">
        <f t="shared" si="12"/>
        <v>#VALUE!</v>
      </c>
      <c r="J195" s="66"/>
      <c r="K195" s="67"/>
      <c r="L195" s="67"/>
    </row>
    <row r="196" spans="1:12" s="6" customFormat="1" ht="30">
      <c r="A196" s="20" t="s">
        <v>316</v>
      </c>
      <c r="B196" s="41" t="s">
        <v>317</v>
      </c>
      <c r="C196" s="10" t="e">
        <f>SUMIF('[2]AGGREGATION to PREAGG_Migration'!A:A,A196,'[2]AGGREGATION to PREAGG_Migration'!D:D)+SUMIF('[2]SR12E&amp;SR7_Card Expansion'!A:A,A196,'[2]SR12E&amp;SR7_Card Expansion'!D:D)+SUMIF('[2]IXR Card Expansion'!A:A,A196,'[2]IXR Card Expansion'!D:D)+SUMIF([2]PREAGG_v2_SR7B!A:A,A196,[2]PREAGG_v2_SR7B!D:D)+SUMIF([2]PREAGG_IXR_R6v2!A:A,A196,[2]PREAGG_IXR_R6v2!D:D)+SUMIF([2]CSG_V1!A:A,A196,[2]CSG_V1!D:D)+SUMIF([2]ESA!A:A,A196,[2]ESA!D:D)+SUMIF([2]Accessories!A:A,A196,[2]Accessories!D:D)</f>
        <v>#VALUE!</v>
      </c>
      <c r="D196" s="10"/>
      <c r="E196" s="32" t="s">
        <v>316</v>
      </c>
      <c r="F196" s="46" t="s">
        <v>317</v>
      </c>
      <c r="G196" s="10">
        <v>1</v>
      </c>
      <c r="H196" s="49"/>
      <c r="I196" s="6" t="e">
        <f t="shared" si="12"/>
        <v>#VALUE!</v>
      </c>
      <c r="J196" s="66"/>
      <c r="K196" s="67"/>
      <c r="L196" s="67"/>
    </row>
    <row r="197" spans="1:12" s="6" customFormat="1" ht="30">
      <c r="A197" s="18" t="s">
        <v>318</v>
      </c>
      <c r="B197" s="26" t="s">
        <v>319</v>
      </c>
      <c r="C197" s="10" t="e">
        <f>SUMIF('[2]AGGREGATION to PREAGG_Migration'!A:A,A197,'[2]AGGREGATION to PREAGG_Migration'!D:D)+SUMIF('[2]SR12E&amp;SR7_Card Expansion'!A:A,A197,'[2]SR12E&amp;SR7_Card Expansion'!D:D)+SUMIF('[2]IXR Card Expansion'!A:A,A197,'[2]IXR Card Expansion'!D:D)+SUMIF([2]PREAGG_v2_SR7B!A:A,A197,[2]PREAGG_v2_SR7B!D:D)+SUMIF([2]PREAGG_IXR_R6v2!A:A,A197,[2]PREAGG_IXR_R6v2!D:D)+SUMIF([2]CSG_V1!A:A,A197,[2]CSG_V1!D:D)+SUMIF([2]ESA!A:A,A197,[2]ESA!D:D)+SUMIF([2]Accessories!A:A,A197,[2]Accessories!D:D)</f>
        <v>#VALUE!</v>
      </c>
      <c r="D197" s="9"/>
      <c r="E197" s="30" t="s">
        <v>318</v>
      </c>
      <c r="F197" s="14" t="s">
        <v>319</v>
      </c>
      <c r="G197" s="73">
        <v>1</v>
      </c>
      <c r="H197" s="49"/>
      <c r="I197" s="6" t="e">
        <f t="shared" si="12"/>
        <v>#VALUE!</v>
      </c>
      <c r="J197" s="66"/>
      <c r="K197" s="67"/>
      <c r="L197" s="67"/>
    </row>
    <row r="198" spans="1:12" s="6" customFormat="1" ht="30">
      <c r="A198" s="20" t="s">
        <v>403</v>
      </c>
      <c r="B198" s="41" t="s">
        <v>404</v>
      </c>
      <c r="C198" s="10" t="e">
        <f>SUMIF('[2]AGGREGATION to PREAGG_Migration'!A:A,A198,'[2]AGGREGATION to PREAGG_Migration'!D:D)+SUMIF('[2]SR12E&amp;SR7_Card Expansion'!A:A,A198,'[2]SR12E&amp;SR7_Card Expansion'!D:D)+SUMIF('[2]IXR Card Expansion'!A:A,A198,'[2]IXR Card Expansion'!D:D)+SUMIF([2]PREAGG_v2_SR7B!A:A,A198,[2]PREAGG_v2_SR7B!D:D)+SUMIF([2]PREAGG_IXR_R6v2!A:A,A198,[2]PREAGG_IXR_R6v2!D:D)+SUMIF([2]CSG_V1!A:A,A198,[2]CSG_V1!D:D)+SUMIF([2]ESA!A:A,A198,[2]ESA!D:D)+SUMIF([2]Accessories!A:A,A198,[2]Accessories!D:D)</f>
        <v>#VALUE!</v>
      </c>
      <c r="D198" s="10"/>
      <c r="E198" s="32" t="s">
        <v>403</v>
      </c>
      <c r="F198" s="46" t="s">
        <v>404</v>
      </c>
      <c r="G198" s="10">
        <v>1</v>
      </c>
      <c r="H198" s="49"/>
      <c r="I198" s="6" t="e">
        <f t="shared" si="12"/>
        <v>#VALUE!</v>
      </c>
      <c r="J198" s="66"/>
      <c r="K198" s="67"/>
      <c r="L198" s="67"/>
    </row>
    <row r="199" spans="1:12" s="6" customFormat="1" ht="30">
      <c r="A199" s="18" t="s">
        <v>405</v>
      </c>
      <c r="B199" s="26" t="s">
        <v>406</v>
      </c>
      <c r="C199" s="10" t="e">
        <f>SUMIF('[2]AGGREGATION to PREAGG_Migration'!A:A,A199,'[2]AGGREGATION to PREAGG_Migration'!D:D)+SUMIF('[2]SR12E&amp;SR7_Card Expansion'!A:A,A199,'[2]SR12E&amp;SR7_Card Expansion'!D:D)+SUMIF('[2]IXR Card Expansion'!A:A,A199,'[2]IXR Card Expansion'!D:D)+SUMIF([2]PREAGG_v2_SR7B!A:A,A199,[2]PREAGG_v2_SR7B!D:D)+SUMIF([2]PREAGG_IXR_R6v2!A:A,A199,[2]PREAGG_IXR_R6v2!D:D)+SUMIF([2]CSG_V1!A:A,A199,[2]CSG_V1!D:D)+SUMIF([2]ESA!A:A,A199,[2]ESA!D:D)+SUMIF([2]Accessories!A:A,A199,[2]Accessories!D:D)</f>
        <v>#VALUE!</v>
      </c>
      <c r="D199" s="9"/>
      <c r="E199" s="30" t="s">
        <v>405</v>
      </c>
      <c r="F199" s="14" t="s">
        <v>406</v>
      </c>
      <c r="G199" s="73">
        <v>1</v>
      </c>
      <c r="H199" s="49"/>
      <c r="I199" s="6" t="e">
        <f t="shared" si="12"/>
        <v>#VALUE!</v>
      </c>
      <c r="J199" s="66"/>
      <c r="K199" s="67"/>
      <c r="L199" s="67"/>
    </row>
    <row r="200" spans="1:12" s="6" customFormat="1" ht="30">
      <c r="A200" s="20" t="s">
        <v>407</v>
      </c>
      <c r="B200" s="41" t="s">
        <v>408</v>
      </c>
      <c r="C200" s="10" t="e">
        <f>SUMIF('[2]AGGREGATION to PREAGG_Migration'!A:A,A200,'[2]AGGREGATION to PREAGG_Migration'!D:D)+SUMIF('[2]SR12E&amp;SR7_Card Expansion'!A:A,A200,'[2]SR12E&amp;SR7_Card Expansion'!D:D)+SUMIF('[2]IXR Card Expansion'!A:A,A200,'[2]IXR Card Expansion'!D:D)+SUMIF([2]PREAGG_v2_SR7B!A:A,A200,[2]PREAGG_v2_SR7B!D:D)+SUMIF([2]PREAGG_IXR_R6v2!A:A,A200,[2]PREAGG_IXR_R6v2!D:D)+SUMIF([2]CSG_V1!A:A,A200,[2]CSG_V1!D:D)+SUMIF([2]ESA!A:A,A200,[2]ESA!D:D)+SUMIF([2]Accessories!A:A,A200,[2]Accessories!D:D)</f>
        <v>#VALUE!</v>
      </c>
      <c r="D200" s="10"/>
      <c r="E200" s="32" t="s">
        <v>407</v>
      </c>
      <c r="F200" s="46" t="s">
        <v>408</v>
      </c>
      <c r="G200" s="10">
        <v>1</v>
      </c>
      <c r="H200" s="49"/>
      <c r="I200" s="6" t="e">
        <f t="shared" si="12"/>
        <v>#VALUE!</v>
      </c>
      <c r="J200" s="66"/>
      <c r="K200" s="67"/>
      <c r="L200" s="67"/>
    </row>
    <row r="201" spans="1:12" s="6" customFormat="1" ht="30">
      <c r="A201" s="18" t="s">
        <v>409</v>
      </c>
      <c r="B201" s="26" t="s">
        <v>410</v>
      </c>
      <c r="C201" s="10" t="e">
        <f>SUMIF('[2]AGGREGATION to PREAGG_Migration'!A:A,A201,'[2]AGGREGATION to PREAGG_Migration'!D:D)+SUMIF('[2]SR12E&amp;SR7_Card Expansion'!A:A,A201,'[2]SR12E&amp;SR7_Card Expansion'!D:D)+SUMIF('[2]IXR Card Expansion'!A:A,A201,'[2]IXR Card Expansion'!D:D)+SUMIF([2]PREAGG_v2_SR7B!A:A,A201,[2]PREAGG_v2_SR7B!D:D)+SUMIF([2]PREAGG_IXR_R6v2!A:A,A201,[2]PREAGG_IXR_R6v2!D:D)+SUMIF([2]CSG_V1!A:A,A201,[2]CSG_V1!D:D)+SUMIF([2]ESA!A:A,A201,[2]ESA!D:D)+SUMIF([2]Accessories!A:A,A201,[2]Accessories!D:D)</f>
        <v>#VALUE!</v>
      </c>
      <c r="D201" s="9"/>
      <c r="E201" s="30" t="s">
        <v>409</v>
      </c>
      <c r="F201" s="14" t="s">
        <v>410</v>
      </c>
      <c r="G201" s="73">
        <v>1</v>
      </c>
      <c r="H201" s="49"/>
      <c r="I201" s="6" t="e">
        <f t="shared" si="12"/>
        <v>#VALUE!</v>
      </c>
      <c r="J201" s="66"/>
      <c r="K201" s="67"/>
      <c r="L201" s="67"/>
    </row>
    <row r="202" spans="1:12" s="6" customFormat="1" ht="30">
      <c r="A202" s="20" t="s">
        <v>367</v>
      </c>
      <c r="B202" s="41" t="s">
        <v>368</v>
      </c>
      <c r="C202" s="10" t="e">
        <f>SUMIF('[2]AGGREGATION to PREAGG_Migration'!A:A,A202,'[2]AGGREGATION to PREAGG_Migration'!D:D)+SUMIF('[2]SR12E&amp;SR7_Card Expansion'!A:A,A202,'[2]SR12E&amp;SR7_Card Expansion'!D:D)+SUMIF('[2]IXR Card Expansion'!A:A,A202,'[2]IXR Card Expansion'!D:D)+SUMIF([2]PREAGG_v2_SR7B!A:A,A202,[2]PREAGG_v2_SR7B!D:D)+SUMIF([2]PREAGG_IXR_R6v2!A:A,A202,[2]PREAGG_IXR_R6v2!D:D)+SUMIF([2]CSG_V1!A:A,A202,[2]CSG_V1!D:D)+SUMIF([2]ESA!A:A,A202,[2]ESA!D:D)+SUMIF([2]Accessories!A:A,A202,[2]Accessories!D:D)</f>
        <v>#VALUE!</v>
      </c>
      <c r="D202" s="10"/>
      <c r="E202" s="32" t="s">
        <v>367</v>
      </c>
      <c r="F202" s="46" t="s">
        <v>368</v>
      </c>
      <c r="G202" s="10">
        <v>1</v>
      </c>
      <c r="H202" s="49"/>
      <c r="I202" s="6" t="e">
        <f t="shared" si="12"/>
        <v>#VALUE!</v>
      </c>
      <c r="J202" s="66"/>
      <c r="K202" s="67"/>
      <c r="L202" s="67"/>
    </row>
    <row r="203" spans="1:12" s="6" customFormat="1" ht="30">
      <c r="A203" s="18" t="s">
        <v>411</v>
      </c>
      <c r="B203" s="26" t="s">
        <v>412</v>
      </c>
      <c r="C203" s="10" t="e">
        <f>SUMIF('[2]AGGREGATION to PREAGG_Migration'!A:A,A203,'[2]AGGREGATION to PREAGG_Migration'!D:D)+SUMIF('[2]SR12E&amp;SR7_Card Expansion'!A:A,A203,'[2]SR12E&amp;SR7_Card Expansion'!D:D)+SUMIF('[2]IXR Card Expansion'!A:A,A203,'[2]IXR Card Expansion'!D:D)+SUMIF([2]PREAGG_v2_SR7B!A:A,A203,[2]PREAGG_v2_SR7B!D:D)+SUMIF([2]PREAGG_IXR_R6v2!A:A,A203,[2]PREAGG_IXR_R6v2!D:D)+SUMIF([2]CSG_V1!A:A,A203,[2]CSG_V1!D:D)+SUMIF([2]ESA!A:A,A203,[2]ESA!D:D)+SUMIF([2]Accessories!A:A,A203,[2]Accessories!D:D)</f>
        <v>#VALUE!</v>
      </c>
      <c r="D203" s="9"/>
      <c r="E203" s="1" t="s">
        <v>413</v>
      </c>
      <c r="F203" s="14" t="s">
        <v>412</v>
      </c>
      <c r="G203" s="73">
        <v>1</v>
      </c>
      <c r="H203" s="49"/>
      <c r="I203" s="6" t="e">
        <f t="shared" si="12"/>
        <v>#VALUE!</v>
      </c>
      <c r="J203" s="66"/>
      <c r="K203" s="67"/>
      <c r="L203" s="67"/>
    </row>
    <row r="204" spans="1:12" s="6" customFormat="1" ht="30">
      <c r="A204" s="20" t="s">
        <v>414</v>
      </c>
      <c r="B204" s="41" t="s">
        <v>415</v>
      </c>
      <c r="C204" s="10" t="e">
        <f>SUMIF('[2]AGGREGATION to PREAGG_Migration'!A:A,A204,'[2]AGGREGATION to PREAGG_Migration'!D:D)+SUMIF('[2]SR12E&amp;SR7_Card Expansion'!A:A,A204,'[2]SR12E&amp;SR7_Card Expansion'!D:D)+SUMIF('[2]IXR Card Expansion'!A:A,A204,'[2]IXR Card Expansion'!D:D)+SUMIF([2]PREAGG_v2_SR7B!A:A,A204,[2]PREAGG_v2_SR7B!D:D)+SUMIF([2]PREAGG_IXR_R6v2!A:A,A204,[2]PREAGG_IXR_R6v2!D:D)+SUMIF([2]CSG_V1!A:A,A204,[2]CSG_V1!D:D)+SUMIF([2]ESA!A:A,A204,[2]ESA!D:D)+SUMIF([2]Accessories!A:A,A204,[2]Accessories!D:D)</f>
        <v>#VALUE!</v>
      </c>
      <c r="D204" s="10"/>
      <c r="E204" s="1" t="s">
        <v>416</v>
      </c>
      <c r="F204" s="46" t="s">
        <v>415</v>
      </c>
      <c r="G204" s="10">
        <v>1</v>
      </c>
      <c r="H204" s="49"/>
      <c r="I204" s="6" t="e">
        <f t="shared" si="12"/>
        <v>#VALUE!</v>
      </c>
      <c r="J204" s="66"/>
      <c r="K204" s="67"/>
      <c r="L204" s="67"/>
    </row>
    <row r="205" spans="1:12" s="6" customFormat="1">
      <c r="A205" s="84" t="s">
        <v>417</v>
      </c>
      <c r="B205" s="72" t="s">
        <v>418</v>
      </c>
      <c r="C205" s="81" t="e">
        <f>SUMIF('[2]AGGREGATION to PREAGG_Migration'!A:A,A205,'[2]AGGREGATION to PREAGG_Migration'!D:D)+SUMIF('[2]SR12E&amp;SR7_Card Expansion'!A:A,A205,'[2]SR12E&amp;SR7_Card Expansion'!D:D)+SUMIF('[2]IXR Card Expansion'!A:A,A205,'[2]IXR Card Expansion'!D:D)+SUMIF([2]PREAGG_v2_SR7B!A:A,A205,[2]PREAGG_v2_SR7B!D:D)+SUMIF([2]PREAGG_IXR_R6v2!A:A,A205,[2]PREAGG_IXR_R6v2!D:D)+SUMIF([2]CSG_V1!A:A,A205,[2]CSG_V1!D:D)+SUMIF([2]ESA!A:A,A205,[2]ESA!D:D)+SUMIF([2]Accessories!A:A,A205,[2]Accessories!D:D)</f>
        <v>#VALUE!</v>
      </c>
      <c r="D205" s="81"/>
      <c r="E205" s="52" t="s">
        <v>417</v>
      </c>
      <c r="F205" s="14" t="s">
        <v>396</v>
      </c>
      <c r="G205" s="73">
        <v>1</v>
      </c>
      <c r="H205" s="74"/>
      <c r="I205" s="6" t="e">
        <f>C205*G205</f>
        <v>#VALUE!</v>
      </c>
      <c r="J205" s="66"/>
      <c r="K205" s="67"/>
      <c r="L205" s="67"/>
    </row>
    <row r="206" spans="1:12" s="6" customFormat="1" ht="30">
      <c r="A206" s="85" t="s">
        <v>419</v>
      </c>
      <c r="B206" s="76" t="s">
        <v>420</v>
      </c>
      <c r="C206" s="81" t="e">
        <f>SUMIF('[2]AGGREGATION to PREAGG_Migration'!A:A,A206,'[2]AGGREGATION to PREAGG_Migration'!D:D)+SUMIF('[2]SR12E&amp;SR7_Card Expansion'!A:A,A206,'[2]SR12E&amp;SR7_Card Expansion'!D:D)+SUMIF('[2]IXR Card Expansion'!A:A,A206,'[2]IXR Card Expansion'!D:D)+SUMIF([2]PREAGG_v2_SR7B!A:A,A206,[2]PREAGG_v2_SR7B!D:D)+SUMIF([2]PREAGG_IXR_R6v2!A:A,A206,[2]PREAGG_IXR_R6v2!D:D)+SUMIF([2]CSG_V1!A:A,A206,[2]CSG_V1!D:D)+SUMIF([2]ESA!A:A,A206,[2]ESA!D:D)+SUMIF([2]Accessories!A:A,A206,[2]Accessories!D:D)</f>
        <v>#VALUE!</v>
      </c>
      <c r="D206" s="86"/>
      <c r="E206" s="85" t="s">
        <v>419</v>
      </c>
      <c r="F206" s="46" t="s">
        <v>398</v>
      </c>
      <c r="G206" s="77">
        <v>1</v>
      </c>
      <c r="H206" s="78"/>
      <c r="I206" s="6" t="e">
        <f>C206*G206</f>
        <v>#VALUE!</v>
      </c>
      <c r="J206" s="66"/>
      <c r="K206" s="67"/>
      <c r="L206" s="67"/>
    </row>
    <row r="207" spans="1:12" s="6" customFormat="1" ht="30">
      <c r="A207" s="84" t="s">
        <v>421</v>
      </c>
      <c r="B207" s="72" t="s">
        <v>422</v>
      </c>
      <c r="C207" s="81" t="e">
        <f>SUMIF('[2]AGGREGATION to PREAGG_Migration'!A:A,A207,'[2]AGGREGATION to PREAGG_Migration'!D:D)+SUMIF('[2]SR12E&amp;SR7_Card Expansion'!A:A,A207,'[2]SR12E&amp;SR7_Card Expansion'!D:D)+SUMIF('[2]IXR Card Expansion'!A:A,A207,'[2]IXR Card Expansion'!D:D)+SUMIF([2]PREAGG_v2_SR7B!A:A,A207,[2]PREAGG_v2_SR7B!D:D)+SUMIF([2]PREAGG_IXR_R6v2!A:A,A207,[2]PREAGG_IXR_R6v2!D:D)+SUMIF([2]CSG_V1!A:A,A207,[2]CSG_V1!D:D)+SUMIF([2]ESA!A:A,A207,[2]ESA!D:D)+SUMIF([2]Accessories!A:A,A207,[2]Accessories!D:D)</f>
        <v>#VALUE!</v>
      </c>
      <c r="D207" s="81"/>
      <c r="E207" s="84" t="s">
        <v>421</v>
      </c>
      <c r="F207" s="26" t="s">
        <v>280</v>
      </c>
      <c r="G207" s="73">
        <v>1</v>
      </c>
      <c r="H207" s="74"/>
      <c r="I207" t="e">
        <f>C207*G207</f>
        <v>#VALUE!</v>
      </c>
      <c r="J207" s="66"/>
      <c r="K207" s="67"/>
      <c r="L207" s="67"/>
    </row>
    <row r="208" spans="1:12" s="6" customFormat="1" ht="30">
      <c r="A208" s="85" t="s">
        <v>423</v>
      </c>
      <c r="B208" s="76" t="s">
        <v>424</v>
      </c>
      <c r="C208" s="81" t="e">
        <f>SUMIF('[2]AGGREGATION to PREAGG_Migration'!A:A,A208,'[2]AGGREGATION to PREAGG_Migration'!D:D)+SUMIF('[2]SR12E&amp;SR7_Card Expansion'!A:A,A208,'[2]SR12E&amp;SR7_Card Expansion'!D:D)+SUMIF('[2]IXR Card Expansion'!A:A,A208,'[2]IXR Card Expansion'!D:D)+SUMIF([2]PREAGG_v2_SR7B!A:A,A208,[2]PREAGG_v2_SR7B!D:D)+SUMIF([2]PREAGG_IXR_R6v2!A:A,A208,[2]PREAGG_IXR_R6v2!D:D)+SUMIF([2]CSG_V1!A:A,A208,[2]CSG_V1!D:D)+SUMIF([2]ESA!A:A,A208,[2]ESA!D:D)+SUMIF([2]Accessories!A:A,A208,[2]Accessories!D:D)</f>
        <v>#VALUE!</v>
      </c>
      <c r="D208" s="86"/>
      <c r="E208" s="85" t="s">
        <v>423</v>
      </c>
      <c r="F208" s="41" t="s">
        <v>402</v>
      </c>
      <c r="G208" s="77">
        <v>1</v>
      </c>
      <c r="H208" s="78"/>
      <c r="I208" t="e">
        <f>C208*G208</f>
        <v>#VALUE!</v>
      </c>
      <c r="J208" s="66"/>
      <c r="K208" s="67"/>
      <c r="L208" s="67"/>
    </row>
    <row r="209" spans="1:12" s="6" customFormat="1">
      <c r="A209" s="171" t="s">
        <v>425</v>
      </c>
      <c r="B209" s="173" t="s">
        <v>426</v>
      </c>
      <c r="C209" s="165" t="e">
        <f>SUMIF('[2]AGGREGATION to PREAGG_Migration'!A:A,A209,'[2]AGGREGATION to PREAGG_Migration'!D:D)+SUMIF('[2]SR12E&amp;SR7_Card Expansion'!A:A,A209,'[2]SR12E&amp;SR7_Card Expansion'!D:D)+SUMIF('[2]IXR Card Expansion'!A:A,A209,'[2]IXR Card Expansion'!D:D)+SUMIF([2]PREAGG_v2_SR7B!A:A,A209,[2]PREAGG_v2_SR7B!D:D)+SUMIF([2]PREAGG_IXR_R6v2!A:A,A209,[2]PREAGG_IXR_R6v2!D:D)+SUMIF([2]CSG_V1!A:A,A209,[2]CSG_V1!D:D)+SUMIF([2]ESA!A:A,A209,[2]ESA!D:D)+SUMIF([2]Accessories!A:A,A209,[2]Accessories!D:D)</f>
        <v>#VALUE!</v>
      </c>
      <c r="D209" s="165"/>
      <c r="E209" s="38" t="s">
        <v>427</v>
      </c>
      <c r="F209" s="14" t="s">
        <v>428</v>
      </c>
      <c r="G209" s="73">
        <v>1</v>
      </c>
      <c r="H209" s="176"/>
      <c r="I209" t="e">
        <f>C209*G209</f>
        <v>#VALUE!</v>
      </c>
      <c r="J209" s="66"/>
      <c r="K209" s="67"/>
      <c r="L209" s="67"/>
    </row>
    <row r="210" spans="1:12" s="6" customFormat="1">
      <c r="A210" s="179"/>
      <c r="B210" s="175"/>
      <c r="C210" s="167"/>
      <c r="D210" s="167"/>
      <c r="E210" s="38" t="s">
        <v>429</v>
      </c>
      <c r="F210" s="14" t="s">
        <v>430</v>
      </c>
      <c r="G210" s="73">
        <v>1</v>
      </c>
      <c r="H210" s="178"/>
      <c r="I210" t="e">
        <f>C209*G210</f>
        <v>#VALUE!</v>
      </c>
      <c r="J210" s="66"/>
      <c r="K210" s="67"/>
      <c r="L210" s="67"/>
    </row>
    <row r="211" spans="1:12" s="6" customFormat="1" ht="30">
      <c r="A211" s="149" t="s">
        <v>431</v>
      </c>
      <c r="B211" s="150" t="s">
        <v>432</v>
      </c>
      <c r="C211" s="153" t="e">
        <f>SUMIF('[2]AGGREGATION to PREAGG_Migration'!A:A,A211,'[2]AGGREGATION to PREAGG_Migration'!D:D)+SUMIF('[2]SR12E&amp;SR7_Card Expansion'!A:A,A211,'[2]SR12E&amp;SR7_Card Expansion'!D:D)+SUMIF('[2]IXR Card Expansion'!A:A,A211,'[2]IXR Card Expansion'!D:D)+SUMIF([2]PREAGG_v2_SR7B!A:A,A211,[2]PREAGG_v2_SR7B!D:D)+SUMIF([2]PREAGG_IXR_R6v2!A:A,A211,[2]PREAGG_IXR_R6v2!D:D)+SUMIF([2]CSG_V1!A:A,A211,[2]CSG_V1!D:D)+SUMIF([2]ESA!A:A,A211,[2]ESA!D:D)+SUMIF([2]Accessories!A:A,A211,[2]Accessories!D:D)</f>
        <v>#VALUE!</v>
      </c>
      <c r="D211" s="153"/>
      <c r="E211" s="34" t="s">
        <v>221</v>
      </c>
      <c r="F211" s="46" t="s">
        <v>222</v>
      </c>
      <c r="G211" s="77">
        <v>5</v>
      </c>
      <c r="H211" s="156"/>
      <c r="I211" t="e">
        <f>C211*G211</f>
        <v>#VALUE!</v>
      </c>
      <c r="J211" s="66"/>
      <c r="K211" s="67"/>
      <c r="L211" s="67"/>
    </row>
    <row r="212" spans="1:12" s="6" customFormat="1" ht="30">
      <c r="A212" s="149"/>
      <c r="B212" s="151"/>
      <c r="C212" s="154"/>
      <c r="D212" s="154"/>
      <c r="E212" s="34" t="s">
        <v>279</v>
      </c>
      <c r="F212" s="46" t="s">
        <v>280</v>
      </c>
      <c r="G212" s="77">
        <v>2</v>
      </c>
      <c r="H212" s="157"/>
      <c r="I212" t="e">
        <f>C211*G212</f>
        <v>#VALUE!</v>
      </c>
      <c r="J212" s="66"/>
      <c r="K212" s="67"/>
      <c r="L212" s="67"/>
    </row>
    <row r="213" spans="1:12" s="6" customFormat="1" ht="30">
      <c r="A213" s="149"/>
      <c r="B213" s="152"/>
      <c r="C213" s="155"/>
      <c r="D213" s="155"/>
      <c r="E213" s="34" t="s">
        <v>401</v>
      </c>
      <c r="F213" s="46" t="s">
        <v>402</v>
      </c>
      <c r="G213" s="77">
        <v>1</v>
      </c>
      <c r="H213" s="158"/>
      <c r="I213" t="e">
        <f>C211*G213</f>
        <v>#VALUE!</v>
      </c>
      <c r="J213" s="66"/>
      <c r="K213" s="67"/>
      <c r="L213" s="67"/>
    </row>
    <row r="214" spans="1:12" s="6" customFormat="1">
      <c r="A214" s="18" t="s">
        <v>433</v>
      </c>
      <c r="B214" s="27" t="s">
        <v>434</v>
      </c>
      <c r="C214" s="10" t="e">
        <f>SUMIF('[2]AGGREGATION to PREAGG_Migration'!A:A,A214,'[2]AGGREGATION to PREAGG_Migration'!D:D)+SUMIF('[2]SR12E&amp;SR7_Card Expansion'!A:A,A214,'[2]SR12E&amp;SR7_Card Expansion'!D:D)+SUMIF('[2]IXR Card Expansion'!A:A,A214,'[2]IXR Card Expansion'!D:D)+SUMIF([2]PREAGG_v2_SR7B!A:A,A214,[2]PREAGG_v2_SR7B!D:D)+SUMIF([2]PREAGG_IXR_R6v2!A:A,A214,[2]PREAGG_IXR_R6v2!D:D)+SUMIF([2]CSG_V1!A:A,A214,[2]CSG_V1!D:D)+SUMIF([2]ESA!A:A,A214,[2]ESA!D:D)+SUMIF([2]Accessories!A:A,A214,[2]Accessories!D:D)</f>
        <v>#VALUE!</v>
      </c>
      <c r="D214" s="9"/>
      <c r="E214" s="30" t="s">
        <v>433</v>
      </c>
      <c r="F214" s="14" t="s">
        <v>434</v>
      </c>
      <c r="G214" s="9">
        <v>1</v>
      </c>
      <c r="H214" s="22"/>
      <c r="I214" s="6" t="e">
        <f>C214*G214</f>
        <v>#VALUE!</v>
      </c>
      <c r="J214" s="66"/>
      <c r="K214" s="67"/>
      <c r="L214" s="67"/>
    </row>
    <row r="215" spans="1:12">
      <c r="A215" s="20" t="s">
        <v>435</v>
      </c>
      <c r="B215" s="50" t="s">
        <v>436</v>
      </c>
      <c r="C215" s="10" t="e">
        <f>SUMIF('[2]AGGREGATION to PREAGG_Migration'!A:A,A215,'[2]AGGREGATION to PREAGG_Migration'!D:D)+SUMIF('[2]SR12E&amp;SR7_Card Expansion'!A:A,A215,'[2]SR12E&amp;SR7_Card Expansion'!D:D)+SUMIF('[2]IXR Card Expansion'!A:A,A215,'[2]IXR Card Expansion'!D:D)+SUMIF([2]PREAGG_v2_SR7B!A:A,A215,[2]PREAGG_v2_SR7B!D:D)+SUMIF([2]PREAGG_IXR_R6v2!A:A,A215,[2]PREAGG_IXR_R6v2!D:D)+SUMIF([2]CSG_V1!A:A,A215,[2]CSG_V1!D:D)+SUMIF([2]ESA!A:A,A215,[2]ESA!D:D)+SUMIF([2]Accessories!A:A,A215,[2]Accessories!D:D)</f>
        <v>#VALUE!</v>
      </c>
      <c r="D215" s="10"/>
      <c r="E215" s="32" t="s">
        <v>435</v>
      </c>
      <c r="F215" s="46" t="s">
        <v>436</v>
      </c>
      <c r="G215" s="77">
        <v>1</v>
      </c>
      <c r="H215" s="22"/>
      <c r="I215" s="6" t="e">
        <f t="shared" ref="I215:I228" si="13">C215*G215</f>
        <v>#VALUE!</v>
      </c>
      <c r="J215" s="66"/>
      <c r="K215" s="67"/>
      <c r="L215" s="67"/>
    </row>
    <row r="216" spans="1:12">
      <c r="A216" s="18" t="s">
        <v>437</v>
      </c>
      <c r="B216" s="27" t="s">
        <v>438</v>
      </c>
      <c r="C216" s="10" t="e">
        <f>SUMIF('[2]AGGREGATION to PREAGG_Migration'!A:A,A216,'[2]AGGREGATION to PREAGG_Migration'!D:D)+SUMIF('[2]SR12E&amp;SR7_Card Expansion'!A:A,A216,'[2]SR12E&amp;SR7_Card Expansion'!D:D)+SUMIF('[2]IXR Card Expansion'!A:A,A216,'[2]IXR Card Expansion'!D:D)+SUMIF([2]PREAGG_v2_SR7B!A:A,A216,[2]PREAGG_v2_SR7B!D:D)+SUMIF([2]PREAGG_IXR_R6v2!A:A,A216,[2]PREAGG_IXR_R6v2!D:D)+SUMIF([2]CSG_V1!A:A,A216,[2]CSG_V1!D:D)+SUMIF([2]ESA!A:A,A216,[2]ESA!D:D)+SUMIF([2]Accessories!A:A,A216,[2]Accessories!D:D)</f>
        <v>#VALUE!</v>
      </c>
      <c r="D216" s="9"/>
      <c r="E216" s="30" t="s">
        <v>437</v>
      </c>
      <c r="F216" s="14" t="s">
        <v>438</v>
      </c>
      <c r="G216" s="9">
        <v>1</v>
      </c>
      <c r="H216" s="22"/>
      <c r="I216" s="6" t="e">
        <f t="shared" si="13"/>
        <v>#VALUE!</v>
      </c>
      <c r="J216" s="66"/>
      <c r="K216" s="67"/>
      <c r="L216" s="67"/>
    </row>
    <row r="217" spans="1:12">
      <c r="A217" s="20" t="s">
        <v>439</v>
      </c>
      <c r="B217" s="50" t="s">
        <v>440</v>
      </c>
      <c r="C217" s="10" t="e">
        <f>SUMIF('[2]AGGREGATION to PREAGG_Migration'!A:A,A217,'[2]AGGREGATION to PREAGG_Migration'!D:D)+SUMIF('[2]SR12E&amp;SR7_Card Expansion'!A:A,A217,'[2]SR12E&amp;SR7_Card Expansion'!D:D)+SUMIF('[2]IXR Card Expansion'!A:A,A217,'[2]IXR Card Expansion'!D:D)+SUMIF([2]PREAGG_v2_SR7B!A:A,A217,[2]PREAGG_v2_SR7B!D:D)+SUMIF([2]PREAGG_IXR_R6v2!A:A,A217,[2]PREAGG_IXR_R6v2!D:D)+SUMIF([2]CSG_V1!A:A,A217,[2]CSG_V1!D:D)+SUMIF([2]ESA!A:A,A217,[2]ESA!D:D)+SUMIF([2]Accessories!A:A,A217,[2]Accessories!D:D)</f>
        <v>#VALUE!</v>
      </c>
      <c r="D217" s="10"/>
      <c r="E217" s="32" t="s">
        <v>439</v>
      </c>
      <c r="F217" s="46" t="s">
        <v>440</v>
      </c>
      <c r="G217" s="77">
        <v>1</v>
      </c>
      <c r="H217" s="22"/>
      <c r="I217" s="6" t="e">
        <f t="shared" si="13"/>
        <v>#VALUE!</v>
      </c>
      <c r="J217" s="66"/>
      <c r="K217" s="67"/>
      <c r="L217" s="67"/>
    </row>
    <row r="218" spans="1:12">
      <c r="A218" s="18" t="s">
        <v>357</v>
      </c>
      <c r="B218" s="27" t="s">
        <v>358</v>
      </c>
      <c r="C218" s="10" t="e">
        <f>SUMIF('[2]AGGREGATION to PREAGG_Migration'!A:A,A218,'[2]AGGREGATION to PREAGG_Migration'!D:D)+SUMIF('[2]SR12E&amp;SR7_Card Expansion'!A:A,A218,'[2]SR12E&amp;SR7_Card Expansion'!D:D)+SUMIF('[2]IXR Card Expansion'!A:A,A218,'[2]IXR Card Expansion'!D:D)+SUMIF([2]PREAGG_v2_SR7B!A:A,A218,[2]PREAGG_v2_SR7B!D:D)+SUMIF([2]PREAGG_IXR_R6v2!A:A,A218,[2]PREAGG_IXR_R6v2!D:D)+SUMIF([2]CSG_V1!A:A,A218,[2]CSG_V1!D:D)+SUMIF([2]ESA!A:A,A218,[2]ESA!D:D)+SUMIF([2]Accessories!A:A,A218,[2]Accessories!D:D)</f>
        <v>#VALUE!</v>
      </c>
      <c r="D218" s="9"/>
      <c r="E218" s="30" t="s">
        <v>357</v>
      </c>
      <c r="F218" s="14" t="s">
        <v>358</v>
      </c>
      <c r="G218" s="9">
        <v>1</v>
      </c>
      <c r="H218" s="22"/>
      <c r="I218" s="6" t="e">
        <f t="shared" si="13"/>
        <v>#VALUE!</v>
      </c>
      <c r="J218" s="66"/>
      <c r="K218" s="67"/>
      <c r="L218" s="67"/>
    </row>
    <row r="219" spans="1:12">
      <c r="A219" s="20" t="s">
        <v>441</v>
      </c>
      <c r="B219" s="50" t="s">
        <v>442</v>
      </c>
      <c r="C219" s="10" t="e">
        <f>SUMIF('[2]AGGREGATION to PREAGG_Migration'!A:A,A219,'[2]AGGREGATION to PREAGG_Migration'!D:D)+SUMIF('[2]SR12E&amp;SR7_Card Expansion'!A:A,A219,'[2]SR12E&amp;SR7_Card Expansion'!D:D)+SUMIF('[2]IXR Card Expansion'!A:A,A219,'[2]IXR Card Expansion'!D:D)+SUMIF([2]PREAGG_v2_SR7B!A:A,A219,[2]PREAGG_v2_SR7B!D:D)+SUMIF([2]PREAGG_IXR_R6v2!A:A,A219,[2]PREAGG_IXR_R6v2!D:D)+SUMIF([2]CSG_V1!A:A,A219,[2]CSG_V1!D:D)+SUMIF([2]ESA!A:A,A219,[2]ESA!D:D)+SUMIF([2]Accessories!A:A,A219,[2]Accessories!D:D)</f>
        <v>#VALUE!</v>
      </c>
      <c r="D219" s="10"/>
      <c r="E219" s="32" t="s">
        <v>441</v>
      </c>
      <c r="F219" s="46" t="s">
        <v>442</v>
      </c>
      <c r="G219" s="77">
        <v>1</v>
      </c>
      <c r="H219" s="22"/>
      <c r="I219" s="6" t="e">
        <f t="shared" si="13"/>
        <v>#VALUE!</v>
      </c>
      <c r="J219" s="66"/>
      <c r="K219" s="67"/>
      <c r="L219" s="67"/>
    </row>
    <row r="220" spans="1:12">
      <c r="A220" s="18" t="s">
        <v>443</v>
      </c>
      <c r="B220" s="27" t="s">
        <v>444</v>
      </c>
      <c r="C220" s="10" t="e">
        <f>SUMIF('[2]AGGREGATION to PREAGG_Migration'!A:A,A220,'[2]AGGREGATION to PREAGG_Migration'!D:D)+SUMIF('[2]SR12E&amp;SR7_Card Expansion'!A:A,A220,'[2]SR12E&amp;SR7_Card Expansion'!D:D)+SUMIF('[2]IXR Card Expansion'!A:A,A220,'[2]IXR Card Expansion'!D:D)+SUMIF([2]PREAGG_v2_SR7B!A:A,A220,[2]PREAGG_v2_SR7B!D:D)+SUMIF([2]PREAGG_IXR_R6v2!A:A,A220,[2]PREAGG_IXR_R6v2!D:D)+SUMIF([2]CSG_V1!A:A,A220,[2]CSG_V1!D:D)+SUMIF([2]ESA!A:A,A220,[2]ESA!D:D)+SUMIF([2]Accessories!A:A,A220,[2]Accessories!D:D)</f>
        <v>#VALUE!</v>
      </c>
      <c r="D220" s="9"/>
      <c r="E220" s="30" t="s">
        <v>443</v>
      </c>
      <c r="F220" s="14" t="s">
        <v>444</v>
      </c>
      <c r="G220" s="9">
        <v>1</v>
      </c>
      <c r="H220" s="22"/>
      <c r="I220" s="6" t="e">
        <f t="shared" si="13"/>
        <v>#VALUE!</v>
      </c>
      <c r="J220" s="66"/>
      <c r="K220" s="67"/>
      <c r="L220" s="67"/>
    </row>
    <row r="221" spans="1:12">
      <c r="A221" s="20" t="s">
        <v>445</v>
      </c>
      <c r="B221" s="50" t="s">
        <v>446</v>
      </c>
      <c r="C221" s="10" t="e">
        <f>SUMIF('[2]AGGREGATION to PREAGG_Migration'!A:A,A221,'[2]AGGREGATION to PREAGG_Migration'!D:D)+SUMIF('[2]SR12E&amp;SR7_Card Expansion'!A:A,A221,'[2]SR12E&amp;SR7_Card Expansion'!D:D)+SUMIF('[2]IXR Card Expansion'!A:A,A221,'[2]IXR Card Expansion'!D:D)+SUMIF([2]PREAGG_v2_SR7B!A:A,A221,[2]PREAGG_v2_SR7B!D:D)+SUMIF([2]PREAGG_IXR_R6v2!A:A,A221,[2]PREAGG_IXR_R6v2!D:D)+SUMIF([2]CSG_V1!A:A,A221,[2]CSG_V1!D:D)+SUMIF([2]ESA!A:A,A221,[2]ESA!D:D)+SUMIF([2]Accessories!A:A,A221,[2]Accessories!D:D)</f>
        <v>#VALUE!</v>
      </c>
      <c r="D221" s="10"/>
      <c r="E221" s="32" t="s">
        <v>445</v>
      </c>
      <c r="F221" s="46" t="s">
        <v>446</v>
      </c>
      <c r="G221" s="77">
        <v>1</v>
      </c>
      <c r="H221" s="22"/>
      <c r="I221" s="6" t="e">
        <f t="shared" si="13"/>
        <v>#VALUE!</v>
      </c>
      <c r="J221" s="66"/>
      <c r="K221" s="67"/>
      <c r="L221" s="67"/>
    </row>
    <row r="222" spans="1:12">
      <c r="A222" s="18" t="s">
        <v>447</v>
      </c>
      <c r="B222" s="27" t="s">
        <v>448</v>
      </c>
      <c r="C222" s="10" t="e">
        <f>SUMIF('[2]AGGREGATION to PREAGG_Migration'!A:A,A222,'[2]AGGREGATION to PREAGG_Migration'!D:D)+SUMIF('[2]SR12E&amp;SR7_Card Expansion'!A:A,A222,'[2]SR12E&amp;SR7_Card Expansion'!D:D)+SUMIF('[2]IXR Card Expansion'!A:A,A222,'[2]IXR Card Expansion'!D:D)+SUMIF([2]PREAGG_v2_SR7B!A:A,A222,[2]PREAGG_v2_SR7B!D:D)+SUMIF([2]PREAGG_IXR_R6v2!A:A,A222,[2]PREAGG_IXR_R6v2!D:D)+SUMIF([2]CSG_V1!A:A,A222,[2]CSG_V1!D:D)+SUMIF([2]ESA!A:A,A222,[2]ESA!D:D)+SUMIF([2]Accessories!A:A,A222,[2]Accessories!D:D)</f>
        <v>#VALUE!</v>
      </c>
      <c r="D222" s="9"/>
      <c r="E222" s="30" t="s">
        <v>447</v>
      </c>
      <c r="F222" s="14" t="s">
        <v>448</v>
      </c>
      <c r="G222" s="9">
        <v>1</v>
      </c>
      <c r="H222" s="22"/>
      <c r="I222" s="6" t="e">
        <f t="shared" si="13"/>
        <v>#VALUE!</v>
      </c>
      <c r="J222" s="66"/>
      <c r="K222" s="67"/>
      <c r="L222" s="67"/>
    </row>
    <row r="223" spans="1:12" ht="15" customHeight="1">
      <c r="A223" s="20" t="s">
        <v>449</v>
      </c>
      <c r="B223" s="50" t="s">
        <v>450</v>
      </c>
      <c r="C223" s="10" t="e">
        <f>SUMIF('[2]AGGREGATION to PREAGG_Migration'!A:A,A223,'[2]AGGREGATION to PREAGG_Migration'!D:D)+SUMIF('[2]SR12E&amp;SR7_Card Expansion'!A:A,A223,'[2]SR12E&amp;SR7_Card Expansion'!D:D)+SUMIF('[2]IXR Card Expansion'!A:A,A223,'[2]IXR Card Expansion'!D:D)+SUMIF([2]PREAGG_v2_SR7B!A:A,A223,[2]PREAGG_v2_SR7B!D:D)+SUMIF([2]PREAGG_IXR_R6v2!A:A,A223,[2]PREAGG_IXR_R6v2!D:D)+SUMIF([2]CSG_V1!A:A,A223,[2]CSG_V1!D:D)+SUMIF([2]ESA!A:A,A223,[2]ESA!D:D)+SUMIF([2]Accessories!A:A,A223,[2]Accessories!D:D)</f>
        <v>#VALUE!</v>
      </c>
      <c r="D223" s="10"/>
      <c r="E223" s="32" t="s">
        <v>449</v>
      </c>
      <c r="F223" s="46" t="s">
        <v>450</v>
      </c>
      <c r="G223" s="77">
        <v>1</v>
      </c>
      <c r="H223" s="22"/>
      <c r="I223" s="6" t="e">
        <f t="shared" si="13"/>
        <v>#VALUE!</v>
      </c>
      <c r="J223" s="66"/>
      <c r="K223" s="67"/>
      <c r="L223" s="67"/>
    </row>
    <row r="224" spans="1:12" ht="38.25" customHeight="1">
      <c r="A224" s="18" t="s">
        <v>359</v>
      </c>
      <c r="B224" s="27" t="s">
        <v>360</v>
      </c>
      <c r="C224" s="10" t="e">
        <f>SUMIF('[2]AGGREGATION to PREAGG_Migration'!A:A,A224,'[2]AGGREGATION to PREAGG_Migration'!D:D)+SUMIF('[2]SR12E&amp;SR7_Card Expansion'!A:A,A224,'[2]SR12E&amp;SR7_Card Expansion'!D:D)+SUMIF('[2]IXR Card Expansion'!A:A,A224,'[2]IXR Card Expansion'!D:D)+SUMIF([2]PREAGG_v2_SR7B!A:A,A224,[2]PREAGG_v2_SR7B!D:D)+SUMIF([2]PREAGG_IXR_R6v2!A:A,A224,[2]PREAGG_IXR_R6v2!D:D)+SUMIF([2]CSG_V1!A:A,A224,[2]CSG_V1!D:D)+SUMIF([2]ESA!A:A,A224,[2]ESA!D:D)+SUMIF([2]Accessories!A:A,A224,[2]Accessories!D:D)</f>
        <v>#VALUE!</v>
      </c>
      <c r="D224" s="9"/>
      <c r="E224" s="30" t="s">
        <v>359</v>
      </c>
      <c r="F224" s="14" t="s">
        <v>360</v>
      </c>
      <c r="G224" s="9">
        <v>1</v>
      </c>
      <c r="H224" s="22"/>
      <c r="I224" s="6" t="e">
        <f t="shared" si="13"/>
        <v>#VALUE!</v>
      </c>
      <c r="J224" s="66"/>
      <c r="K224" s="67"/>
      <c r="L224" s="67"/>
    </row>
    <row r="225" spans="1:12" ht="30" customHeight="1">
      <c r="A225" s="20" t="s">
        <v>451</v>
      </c>
      <c r="B225" s="50" t="s">
        <v>452</v>
      </c>
      <c r="C225" s="10" t="e">
        <f>SUMIF('[2]AGGREGATION to PREAGG_Migration'!A:A,A225,'[2]AGGREGATION to PREAGG_Migration'!D:D)+SUMIF('[2]SR12E&amp;SR7_Card Expansion'!A:A,A225,'[2]SR12E&amp;SR7_Card Expansion'!D:D)+SUMIF('[2]IXR Card Expansion'!A:A,A225,'[2]IXR Card Expansion'!D:D)+SUMIF([2]PREAGG_v2_SR7B!A:A,A225,[2]PREAGG_v2_SR7B!D:D)+SUMIF([2]PREAGG_IXR_R6v2!A:A,A225,[2]PREAGG_IXR_R6v2!D:D)+SUMIF([2]CSG_V1!A:A,A225,[2]CSG_V1!D:D)+SUMIF([2]ESA!A:A,A225,[2]ESA!D:D)+SUMIF([2]Accessories!A:A,A225,[2]Accessories!D:D)</f>
        <v>#VALUE!</v>
      </c>
      <c r="D225" s="10"/>
      <c r="E225" s="32" t="s">
        <v>451</v>
      </c>
      <c r="F225" s="46" t="s">
        <v>452</v>
      </c>
      <c r="G225" s="77">
        <v>1</v>
      </c>
      <c r="H225" s="22"/>
      <c r="I225" s="6" t="e">
        <f t="shared" si="13"/>
        <v>#VALUE!</v>
      </c>
      <c r="J225" s="66"/>
      <c r="K225" s="67"/>
      <c r="L225" s="67"/>
    </row>
    <row r="226" spans="1:12">
      <c r="A226" s="18" t="s">
        <v>453</v>
      </c>
      <c r="B226" s="27" t="s">
        <v>454</v>
      </c>
      <c r="C226" s="10" t="e">
        <f>SUMIF('[2]AGGREGATION to PREAGG_Migration'!A:A,A226,'[2]AGGREGATION to PREAGG_Migration'!D:D)+SUMIF('[2]SR12E&amp;SR7_Card Expansion'!A:A,A226,'[2]SR12E&amp;SR7_Card Expansion'!D:D)+SUMIF('[2]IXR Card Expansion'!A:A,A226,'[2]IXR Card Expansion'!D:D)+SUMIF([2]PREAGG_v2_SR7B!A:A,A226,[2]PREAGG_v2_SR7B!D:D)+SUMIF([2]PREAGG_IXR_R6v2!A:A,A226,[2]PREAGG_IXR_R6v2!D:D)+SUMIF([2]CSG_V1!A:A,A226,[2]CSG_V1!D:D)+SUMIF([2]ESA!A:A,A226,[2]ESA!D:D)+SUMIF([2]Accessories!A:A,A226,[2]Accessories!D:D)</f>
        <v>#VALUE!</v>
      </c>
      <c r="D226" s="9"/>
      <c r="E226" s="30" t="s">
        <v>453</v>
      </c>
      <c r="F226" s="14" t="s">
        <v>454</v>
      </c>
      <c r="G226" s="9">
        <v>1</v>
      </c>
      <c r="H226" s="22"/>
      <c r="I226" s="6" t="e">
        <f t="shared" si="13"/>
        <v>#VALUE!</v>
      </c>
      <c r="J226" s="66"/>
      <c r="K226" s="67"/>
      <c r="L226" s="67"/>
    </row>
    <row r="227" spans="1:12" ht="42.75" customHeight="1">
      <c r="A227" s="20" t="s">
        <v>455</v>
      </c>
      <c r="B227" s="50" t="s">
        <v>456</v>
      </c>
      <c r="C227" s="10" t="e">
        <f>SUMIF('[2]AGGREGATION to PREAGG_Migration'!A:A,A227,'[2]AGGREGATION to PREAGG_Migration'!D:D)+SUMIF('[2]SR12E&amp;SR7_Card Expansion'!A:A,A227,'[2]SR12E&amp;SR7_Card Expansion'!D:D)+SUMIF('[2]IXR Card Expansion'!A:A,A227,'[2]IXR Card Expansion'!D:D)+SUMIF([2]PREAGG_v2_SR7B!A:A,A227,[2]PREAGG_v2_SR7B!D:D)+SUMIF([2]PREAGG_IXR_R6v2!A:A,A227,[2]PREAGG_IXR_R6v2!D:D)+SUMIF([2]CSG_V1!A:A,A227,[2]CSG_V1!D:D)+SUMIF([2]ESA!A:A,A227,[2]ESA!D:D)+SUMIF([2]Accessories!A:A,A227,[2]Accessories!D:D)</f>
        <v>#VALUE!</v>
      </c>
      <c r="D227" s="10"/>
      <c r="E227" s="32" t="s">
        <v>455</v>
      </c>
      <c r="F227" s="46" t="s">
        <v>456</v>
      </c>
      <c r="G227" s="77">
        <v>1</v>
      </c>
      <c r="H227" s="22"/>
      <c r="I227" s="6" t="e">
        <f t="shared" si="13"/>
        <v>#VALUE!</v>
      </c>
      <c r="J227" s="66"/>
      <c r="K227" s="67"/>
      <c r="L227" s="67"/>
    </row>
    <row r="228" spans="1:12" s="6" customFormat="1">
      <c r="A228" s="61" t="s">
        <v>457</v>
      </c>
      <c r="B228" s="62" t="s">
        <v>458</v>
      </c>
      <c r="C228" s="10" t="e">
        <f>SUMIF('[2]AGGREGATION to PREAGG_Migration'!A:A,A228,'[2]AGGREGATION to PREAGG_Migration'!D:D)+SUMIF('[2]SR12E&amp;SR7_Card Expansion'!A:A,A228,'[2]SR12E&amp;SR7_Card Expansion'!D:D)+SUMIF('[2]IXR Card Expansion'!A:A,A228,'[2]IXR Card Expansion'!D:D)+SUMIF([2]PREAGG_v2_SR7B!A:A,A228,[2]PREAGG_v2_SR7B!D:D)+SUMIF([2]PREAGG_IXR_R6v2!A:A,A228,[2]PREAGG_IXR_R6v2!D:D)+SUMIF([2]CSG_V1!A:A,A228,[2]CSG_V1!D:D)+SUMIF([2]ESA!A:A,A228,[2]ESA!D:D)+SUMIF([2]Accessories!A:A,A228,[2]Accessories!D:D)</f>
        <v>#VALUE!</v>
      </c>
      <c r="D228" s="63"/>
      <c r="E228" s="32" t="s">
        <v>457</v>
      </c>
      <c r="F228" s="46" t="s">
        <v>458</v>
      </c>
      <c r="G228" s="77">
        <v>1</v>
      </c>
      <c r="H228" s="22"/>
      <c r="I228" s="6" t="e">
        <f t="shared" si="13"/>
        <v>#VALUE!</v>
      </c>
      <c r="J228" s="66"/>
      <c r="K228" s="67"/>
      <c r="L228" s="67"/>
    </row>
    <row r="229" spans="1:12" s="6" customFormat="1">
      <c r="A229" s="159" t="s">
        <v>459</v>
      </c>
      <c r="B229" s="162" t="s">
        <v>460</v>
      </c>
      <c r="C229" s="165" t="e">
        <f>SUMIF('[2]AGGREGATION to PREAGG_Migration'!A:A,A229,'[2]AGGREGATION to PREAGG_Migration'!D:D)+SUMIF('[2]SR12E&amp;SR7_Card Expansion'!A:A,A229,'[2]SR12E&amp;SR7_Card Expansion'!D:D)+SUMIF('[2]IXR Card Expansion'!A:A,A229,'[2]IXR Card Expansion'!D:D)+SUMIF([2]PREAGG_v2_SR7B!A:A,A229,[2]PREAGG_v2_SR7B!D:D)+SUMIF([2]PREAGG_IXR_R6v2!A:A,A229,[2]PREAGG_IXR_R6v2!D:D)+SUMIF([2]CSG_V1!A:A,A229,[2]CSG_V1!D:D)+SUMIF([2]ESA!A:A,A229,[2]ESA!D:D)+SUMIF([2]Accessories!A:A,A229,[2]Accessories!D:D)</f>
        <v>#VALUE!</v>
      </c>
      <c r="D229" s="165"/>
      <c r="E229" s="30" t="s">
        <v>461</v>
      </c>
      <c r="F229" s="14" t="s">
        <v>462</v>
      </c>
      <c r="G229" s="9">
        <v>1</v>
      </c>
      <c r="H229" s="168"/>
      <c r="I229" s="6" t="e">
        <f>$C$229*G229</f>
        <v>#VALUE!</v>
      </c>
      <c r="J229" s="66"/>
      <c r="K229" s="67"/>
      <c r="L229" s="67"/>
    </row>
    <row r="230" spans="1:12" s="6" customFormat="1">
      <c r="A230" s="160"/>
      <c r="B230" s="163"/>
      <c r="C230" s="166"/>
      <c r="D230" s="166"/>
      <c r="E230" s="30" t="s">
        <v>463</v>
      </c>
      <c r="F230" s="14" t="s">
        <v>464</v>
      </c>
      <c r="G230" s="9">
        <v>1</v>
      </c>
      <c r="H230" s="169"/>
      <c r="I230" s="6" t="e">
        <f t="shared" ref="I230:I235" si="14">$C$229*G230</f>
        <v>#VALUE!</v>
      </c>
      <c r="J230" s="66"/>
      <c r="K230" s="67"/>
      <c r="L230" s="67"/>
    </row>
    <row r="231" spans="1:12" s="6" customFormat="1">
      <c r="A231" s="160"/>
      <c r="B231" s="163"/>
      <c r="C231" s="166"/>
      <c r="D231" s="166"/>
      <c r="E231" s="30" t="s">
        <v>465</v>
      </c>
      <c r="F231" s="14" t="s">
        <v>466</v>
      </c>
      <c r="G231" s="9">
        <v>1</v>
      </c>
      <c r="H231" s="169"/>
      <c r="I231" s="6" t="e">
        <f t="shared" si="14"/>
        <v>#VALUE!</v>
      </c>
      <c r="J231" s="66"/>
      <c r="K231" s="67"/>
      <c r="L231" s="67"/>
    </row>
    <row r="232" spans="1:12" s="6" customFormat="1">
      <c r="A232" s="160"/>
      <c r="B232" s="163"/>
      <c r="C232" s="166"/>
      <c r="D232" s="166"/>
      <c r="E232" s="30" t="s">
        <v>467</v>
      </c>
      <c r="F232" s="14" t="s">
        <v>468</v>
      </c>
      <c r="G232" s="9">
        <v>1</v>
      </c>
      <c r="H232" s="169"/>
      <c r="I232" s="6" t="e">
        <f t="shared" si="14"/>
        <v>#VALUE!</v>
      </c>
      <c r="J232" s="66"/>
      <c r="K232" s="67"/>
      <c r="L232" s="67"/>
    </row>
    <row r="233" spans="1:12" s="6" customFormat="1">
      <c r="A233" s="160"/>
      <c r="B233" s="163"/>
      <c r="C233" s="166"/>
      <c r="D233" s="166"/>
      <c r="E233" s="30" t="s">
        <v>469</v>
      </c>
      <c r="F233" s="14" t="s">
        <v>470</v>
      </c>
      <c r="G233" s="9">
        <v>1</v>
      </c>
      <c r="H233" s="169"/>
      <c r="I233" s="6" t="e">
        <f t="shared" si="14"/>
        <v>#VALUE!</v>
      </c>
      <c r="J233" s="66"/>
      <c r="K233" s="67"/>
      <c r="L233" s="67"/>
    </row>
    <row r="234" spans="1:12" s="6" customFormat="1">
      <c r="A234" s="160"/>
      <c r="B234" s="163"/>
      <c r="C234" s="166"/>
      <c r="D234" s="166"/>
      <c r="E234" s="30" t="s">
        <v>471</v>
      </c>
      <c r="F234" s="14" t="s">
        <v>472</v>
      </c>
      <c r="G234" s="9">
        <v>1</v>
      </c>
      <c r="H234" s="169"/>
      <c r="I234" s="6" t="e">
        <f t="shared" si="14"/>
        <v>#VALUE!</v>
      </c>
      <c r="J234" s="66"/>
      <c r="K234" s="67"/>
      <c r="L234" s="67"/>
    </row>
    <row r="235" spans="1:12" s="6" customFormat="1">
      <c r="A235" s="161"/>
      <c r="B235" s="164"/>
      <c r="C235" s="167"/>
      <c r="D235" s="167"/>
      <c r="E235" s="30" t="s">
        <v>473</v>
      </c>
      <c r="F235" s="14" t="s">
        <v>474</v>
      </c>
      <c r="G235" s="9">
        <v>1</v>
      </c>
      <c r="H235" s="170"/>
      <c r="I235" s="6" t="e">
        <f t="shared" si="14"/>
        <v>#VALUE!</v>
      </c>
      <c r="J235" s="66"/>
      <c r="K235" s="67"/>
      <c r="L235" s="67"/>
    </row>
    <row r="236" spans="1:12" s="6" customFormat="1">
      <c r="A236" s="20" t="s">
        <v>475</v>
      </c>
      <c r="B236" s="50" t="s">
        <v>476</v>
      </c>
      <c r="C236" s="10" t="e">
        <f>SUMIF('[2]AGGREGATION to PREAGG_Migration'!A:A,A236,'[2]AGGREGATION to PREAGG_Migration'!D:D)+SUMIF('[2]SR12E&amp;SR7_Card Expansion'!A:A,A236,'[2]SR12E&amp;SR7_Card Expansion'!D:D)+SUMIF('[2]IXR Card Expansion'!A:A,A236,'[2]IXR Card Expansion'!D:D)+SUMIF([2]PREAGG_v2_SR7B!A:A,A236,[2]PREAGG_v2_SR7B!D:D)+SUMIF([2]PREAGG_IXR_R6v2!A:A,A236,[2]PREAGG_IXR_R6v2!D:D)+SUMIF([2]CSG_V1!A:A,A236,[2]CSG_V1!D:D)+SUMIF([2]ESA!A:A,A236,[2]ESA!D:D)+SUMIF([2]Accessories!A:A,A236,[2]Accessories!D:D)</f>
        <v>#VALUE!</v>
      </c>
      <c r="D236" s="10"/>
      <c r="E236" s="32" t="s">
        <v>477</v>
      </c>
      <c r="F236" s="46" t="s">
        <v>476</v>
      </c>
      <c r="G236" s="51">
        <v>1</v>
      </c>
      <c r="H236" s="49"/>
      <c r="I236" s="6" t="e">
        <f>C236*G236</f>
        <v>#VALUE!</v>
      </c>
      <c r="J236" s="66"/>
      <c r="K236" s="67"/>
      <c r="L236" s="67"/>
    </row>
    <row r="237" spans="1:12" s="6" customFormat="1" ht="30">
      <c r="A237" s="18" t="s">
        <v>478</v>
      </c>
      <c r="B237" s="18" t="s">
        <v>479</v>
      </c>
      <c r="C237" s="10" t="e">
        <f>SUMIF('[2]AGGREGATION to PREAGG_Migration'!A:A,A237,'[2]AGGREGATION to PREAGG_Migration'!D:D)+SUMIF('[2]SR12E&amp;SR7_Card Expansion'!A:A,A237,'[2]SR12E&amp;SR7_Card Expansion'!D:D)+SUMIF('[2]IXR Card Expansion'!A:A,A237,'[2]IXR Card Expansion'!D:D)+SUMIF([2]PREAGG_v2_SR7B!A:A,A237,[2]PREAGG_v2_SR7B!D:D)+SUMIF([2]PREAGG_IXR_R6v2!A:A,A237,[2]PREAGG_IXR_R6v2!D:D)+SUMIF([2]CSG_V1!A:A,A237,[2]CSG_V1!D:D)+SUMIF([2]ESA!A:A,A237,[2]ESA!D:D)+SUMIF([2]Accessories!A:A,A237,[2]Accessories!D:D)</f>
        <v>#VALUE!</v>
      </c>
      <c r="D237" s="27"/>
      <c r="E237" s="18" t="s">
        <v>478</v>
      </c>
      <c r="F237" s="27" t="s">
        <v>479</v>
      </c>
      <c r="G237" s="9">
        <v>1</v>
      </c>
      <c r="H237" s="22"/>
      <c r="I237" s="6" t="e">
        <f t="shared" ref="I237:I300" si="15">C237*G237</f>
        <v>#VALUE!</v>
      </c>
      <c r="J237" s="66"/>
      <c r="K237" s="67"/>
      <c r="L237" s="67"/>
    </row>
    <row r="238" spans="1:12" s="6" customFormat="1" ht="30">
      <c r="A238" s="18" t="s">
        <v>480</v>
      </c>
      <c r="B238" s="18" t="s">
        <v>481</v>
      </c>
      <c r="C238" s="10" t="e">
        <f>SUMIF('[2]AGGREGATION to PREAGG_Migration'!A:A,A238,'[2]AGGREGATION to PREAGG_Migration'!D:D)+SUMIF('[2]SR12E&amp;SR7_Card Expansion'!A:A,A238,'[2]SR12E&amp;SR7_Card Expansion'!D:D)+SUMIF('[2]IXR Card Expansion'!A:A,A238,'[2]IXR Card Expansion'!D:D)+SUMIF([2]PREAGG_v2_SR7B!A:A,A238,[2]PREAGG_v2_SR7B!D:D)+SUMIF([2]PREAGG_IXR_R6v2!A:A,A238,[2]PREAGG_IXR_R6v2!D:D)+SUMIF([2]CSG_V1!A:A,A238,[2]CSG_V1!D:D)+SUMIF([2]ESA!A:A,A238,[2]ESA!D:D)+SUMIF([2]Accessories!A:A,A238,[2]Accessories!D:D)</f>
        <v>#VALUE!</v>
      </c>
      <c r="D238" s="27"/>
      <c r="E238" s="18" t="s">
        <v>480</v>
      </c>
      <c r="F238" s="27" t="s">
        <v>481</v>
      </c>
      <c r="G238" s="9">
        <v>1</v>
      </c>
      <c r="H238" s="22"/>
      <c r="I238" s="6" t="e">
        <f t="shared" si="15"/>
        <v>#VALUE!</v>
      </c>
      <c r="J238" s="66"/>
      <c r="K238" s="67"/>
      <c r="L238" s="67"/>
    </row>
    <row r="239" spans="1:12" s="6" customFormat="1">
      <c r="A239" s="18" t="s">
        <v>482</v>
      </c>
      <c r="B239" s="27" t="s">
        <v>483</v>
      </c>
      <c r="C239" s="10" t="e">
        <f>SUMIF('[2]AGGREGATION to PREAGG_Migration'!A:A,A239,'[2]AGGREGATION to PREAGG_Migration'!D:D)+SUMIF('[2]SR12E&amp;SR7_Card Expansion'!A:A,A239,'[2]SR12E&amp;SR7_Card Expansion'!D:D)+SUMIF('[2]IXR Card Expansion'!A:A,A239,'[2]IXR Card Expansion'!D:D)+SUMIF([2]PREAGG_v2_SR7B!A:A,A239,[2]PREAGG_v2_SR7B!D:D)+SUMIF([2]PREAGG_IXR_R6v2!A:A,A239,[2]PREAGG_IXR_R6v2!D:D)+SUMIF([2]CSG_V1!A:A,A239,[2]CSG_V1!D:D)+SUMIF([2]ESA!A:A,A239,[2]ESA!D:D)+SUMIF([2]Accessories!A:A,A239,[2]Accessories!D:D)</f>
        <v>#VALUE!</v>
      </c>
      <c r="D239" s="9"/>
      <c r="E239" s="43" t="s">
        <v>482</v>
      </c>
      <c r="F239" s="16" t="s">
        <v>483</v>
      </c>
      <c r="G239" s="44">
        <v>1</v>
      </c>
      <c r="H239" s="45"/>
      <c r="I239" s="6" t="e">
        <f t="shared" si="15"/>
        <v>#VALUE!</v>
      </c>
      <c r="J239" s="66"/>
      <c r="K239" s="67"/>
      <c r="L239" s="67"/>
    </row>
    <row r="240" spans="1:12" s="6" customFormat="1">
      <c r="A240" s="18" t="s">
        <v>484</v>
      </c>
      <c r="B240" s="27" t="s">
        <v>485</v>
      </c>
      <c r="C240" s="10" t="e">
        <f>SUMIF('[2]AGGREGATION to PREAGG_Migration'!A:A,A240,'[2]AGGREGATION to PREAGG_Migration'!D:D)+SUMIF('[2]SR12E&amp;SR7_Card Expansion'!A:A,A240,'[2]SR12E&amp;SR7_Card Expansion'!D:D)+SUMIF('[2]IXR Card Expansion'!A:A,A240,'[2]IXR Card Expansion'!D:D)+SUMIF([2]PREAGG_v2_SR7B!A:A,A240,[2]PREAGG_v2_SR7B!D:D)+SUMIF([2]PREAGG_IXR_R6v2!A:A,A240,[2]PREAGG_IXR_R6v2!D:D)+SUMIF([2]CSG_V1!A:A,A240,[2]CSG_V1!D:D)+SUMIF([2]ESA!A:A,A240,[2]ESA!D:D)+SUMIF([2]Accessories!A:A,A240,[2]Accessories!D:D)</f>
        <v>#VALUE!</v>
      </c>
      <c r="D240" s="9"/>
      <c r="E240" s="30" t="s">
        <v>484</v>
      </c>
      <c r="F240" s="14" t="s">
        <v>485</v>
      </c>
      <c r="G240" s="73">
        <v>1</v>
      </c>
      <c r="H240" s="45"/>
      <c r="I240" s="6" t="e">
        <f t="shared" si="15"/>
        <v>#VALUE!</v>
      </c>
      <c r="J240" s="66"/>
      <c r="K240" s="67"/>
      <c r="L240" s="67"/>
    </row>
    <row r="241" spans="1:12" s="6" customFormat="1">
      <c r="A241" s="18" t="s">
        <v>486</v>
      </c>
      <c r="B241" s="27" t="s">
        <v>487</v>
      </c>
      <c r="C241" s="10" t="e">
        <f>SUMIF('[2]AGGREGATION to PREAGG_Migration'!A:A,A241,'[2]AGGREGATION to PREAGG_Migration'!D:D)+SUMIF('[2]SR12E&amp;SR7_Card Expansion'!A:A,A241,'[2]SR12E&amp;SR7_Card Expansion'!D:D)+SUMIF('[2]IXR Card Expansion'!A:A,A241,'[2]IXR Card Expansion'!D:D)+SUMIF([2]PREAGG_v2_SR7B!A:A,A241,[2]PREAGG_v2_SR7B!D:D)+SUMIF([2]PREAGG_IXR_R6v2!A:A,A241,[2]PREAGG_IXR_R6v2!D:D)+SUMIF([2]CSG_V1!A:A,A241,[2]CSG_V1!D:D)+SUMIF([2]ESA!A:A,A241,[2]ESA!D:D)+SUMIF([2]Accessories!A:A,A241,[2]Accessories!D:D)</f>
        <v>#VALUE!</v>
      </c>
      <c r="D241" s="9"/>
      <c r="E241" s="30" t="s">
        <v>486</v>
      </c>
      <c r="F241" s="14" t="s">
        <v>487</v>
      </c>
      <c r="G241" s="9">
        <v>1</v>
      </c>
      <c r="H241" s="45"/>
      <c r="I241" s="6" t="e">
        <f t="shared" si="15"/>
        <v>#VALUE!</v>
      </c>
      <c r="J241" s="66"/>
      <c r="K241" s="67"/>
      <c r="L241" s="67"/>
    </row>
    <row r="242" spans="1:12" s="6" customFormat="1">
      <c r="A242" s="18" t="s">
        <v>488</v>
      </c>
      <c r="B242" s="27" t="s">
        <v>489</v>
      </c>
      <c r="C242" s="10" t="e">
        <f>SUMIF('[2]AGGREGATION to PREAGG_Migration'!A:A,A242,'[2]AGGREGATION to PREAGG_Migration'!D:D)+SUMIF('[2]SR12E&amp;SR7_Card Expansion'!A:A,A242,'[2]SR12E&amp;SR7_Card Expansion'!D:D)+SUMIF('[2]IXR Card Expansion'!A:A,A242,'[2]IXR Card Expansion'!D:D)+SUMIF([2]PREAGG_v2_SR7B!A:A,A242,[2]PREAGG_v2_SR7B!D:D)+SUMIF([2]PREAGG_IXR_R6v2!A:A,A242,[2]PREAGG_IXR_R6v2!D:D)+SUMIF([2]CSG_V1!A:A,A242,[2]CSG_V1!D:D)+SUMIF([2]ESA!A:A,A242,[2]ESA!D:D)+SUMIF([2]Accessories!A:A,A242,[2]Accessories!D:D)</f>
        <v>#VALUE!</v>
      </c>
      <c r="D242" s="9"/>
      <c r="E242" s="30" t="s">
        <v>488</v>
      </c>
      <c r="F242" s="14" t="s">
        <v>489</v>
      </c>
      <c r="G242" s="73">
        <v>1</v>
      </c>
      <c r="H242" s="45"/>
      <c r="I242" s="6" t="e">
        <f t="shared" si="15"/>
        <v>#VALUE!</v>
      </c>
      <c r="J242" s="66"/>
      <c r="K242" s="67"/>
      <c r="L242" s="67"/>
    </row>
    <row r="243" spans="1:12" s="6" customFormat="1">
      <c r="A243" s="18" t="s">
        <v>490</v>
      </c>
      <c r="B243" s="27" t="s">
        <v>491</v>
      </c>
      <c r="C243" s="10" t="e">
        <f>SUMIF('[2]AGGREGATION to PREAGG_Migration'!A:A,A243,'[2]AGGREGATION to PREAGG_Migration'!D:D)+SUMIF('[2]SR12E&amp;SR7_Card Expansion'!A:A,A243,'[2]SR12E&amp;SR7_Card Expansion'!D:D)+SUMIF('[2]IXR Card Expansion'!A:A,A243,'[2]IXR Card Expansion'!D:D)+SUMIF([2]PREAGG_v2_SR7B!A:A,A243,[2]PREAGG_v2_SR7B!D:D)+SUMIF([2]PREAGG_IXR_R6v2!A:A,A243,[2]PREAGG_IXR_R6v2!D:D)+SUMIF([2]CSG_V1!A:A,A243,[2]CSG_V1!D:D)+SUMIF([2]ESA!A:A,A243,[2]ESA!D:D)+SUMIF([2]Accessories!A:A,A243,[2]Accessories!D:D)</f>
        <v>#VALUE!</v>
      </c>
      <c r="D243" s="9"/>
      <c r="E243" s="30" t="s">
        <v>490</v>
      </c>
      <c r="F243" s="14" t="s">
        <v>491</v>
      </c>
      <c r="G243" s="9">
        <v>1</v>
      </c>
      <c r="H243" s="45"/>
      <c r="I243" s="6" t="e">
        <f t="shared" si="15"/>
        <v>#VALUE!</v>
      </c>
      <c r="J243" s="66"/>
      <c r="K243" s="67"/>
      <c r="L243" s="67"/>
    </row>
    <row r="244" spans="1:12" s="6" customFormat="1" ht="15" customHeight="1">
      <c r="A244" s="18" t="s">
        <v>492</v>
      </c>
      <c r="B244" s="27" t="s">
        <v>493</v>
      </c>
      <c r="C244" s="10" t="e">
        <f>SUMIF('[2]AGGREGATION to PREAGG_Migration'!A:A,A244,'[2]AGGREGATION to PREAGG_Migration'!D:D)+SUMIF('[2]SR12E&amp;SR7_Card Expansion'!A:A,A244,'[2]SR12E&amp;SR7_Card Expansion'!D:D)+SUMIF('[2]IXR Card Expansion'!A:A,A244,'[2]IXR Card Expansion'!D:D)+SUMIF([2]PREAGG_v2_SR7B!A:A,A244,[2]PREAGG_v2_SR7B!D:D)+SUMIF([2]PREAGG_IXR_R6v2!A:A,A244,[2]PREAGG_IXR_R6v2!D:D)+SUMIF([2]CSG_V1!A:A,A244,[2]CSG_V1!D:D)+SUMIF([2]ESA!A:A,A244,[2]ESA!D:D)+SUMIF([2]Accessories!A:A,A244,[2]Accessories!D:D)</f>
        <v>#VALUE!</v>
      </c>
      <c r="D244" s="9"/>
      <c r="E244" s="30" t="s">
        <v>492</v>
      </c>
      <c r="F244" s="14" t="s">
        <v>493</v>
      </c>
      <c r="G244" s="73">
        <v>1</v>
      </c>
      <c r="H244" s="45"/>
      <c r="I244" s="6" t="e">
        <f t="shared" si="15"/>
        <v>#VALUE!</v>
      </c>
      <c r="J244" s="66"/>
      <c r="K244" s="67"/>
      <c r="L244" s="67"/>
    </row>
    <row r="245" spans="1:12" s="6" customFormat="1">
      <c r="A245" s="18" t="s">
        <v>494</v>
      </c>
      <c r="B245" s="27" t="s">
        <v>495</v>
      </c>
      <c r="C245" s="10" t="e">
        <f>SUMIF('[2]AGGREGATION to PREAGG_Migration'!A:A,A245,'[2]AGGREGATION to PREAGG_Migration'!D:D)+SUMIF('[2]SR12E&amp;SR7_Card Expansion'!A:A,A245,'[2]SR12E&amp;SR7_Card Expansion'!D:D)+SUMIF('[2]IXR Card Expansion'!A:A,A245,'[2]IXR Card Expansion'!D:D)+SUMIF([2]PREAGG_v2_SR7B!A:A,A245,[2]PREAGG_v2_SR7B!D:D)+SUMIF([2]PREAGG_IXR_R6v2!A:A,A245,[2]PREAGG_IXR_R6v2!D:D)+SUMIF([2]CSG_V1!A:A,A245,[2]CSG_V1!D:D)+SUMIF([2]ESA!A:A,A245,[2]ESA!D:D)+SUMIF([2]Accessories!A:A,A245,[2]Accessories!D:D)</f>
        <v>#VALUE!</v>
      </c>
      <c r="D245" s="9"/>
      <c r="E245" s="30" t="s">
        <v>494</v>
      </c>
      <c r="F245" s="87" t="s">
        <v>495</v>
      </c>
      <c r="G245" s="9">
        <v>1</v>
      </c>
      <c r="H245" s="45"/>
      <c r="I245" s="6" t="e">
        <f t="shared" si="15"/>
        <v>#VALUE!</v>
      </c>
      <c r="J245" s="66"/>
      <c r="K245" s="67"/>
      <c r="L245" s="67"/>
    </row>
    <row r="246" spans="1:12" s="6" customFormat="1">
      <c r="A246" s="15" t="s">
        <v>496</v>
      </c>
      <c r="B246" s="27" t="s">
        <v>497</v>
      </c>
      <c r="C246" s="10" t="e">
        <f>SUMIF('[2]AGGREGATION to PREAGG_Migration'!A:A,A246,'[2]AGGREGATION to PREAGG_Migration'!D:D)+SUMIF('[2]SR12E&amp;SR7_Card Expansion'!A:A,A246,'[2]SR12E&amp;SR7_Card Expansion'!D:D)+SUMIF('[2]IXR Card Expansion'!A:A,A246,'[2]IXR Card Expansion'!D:D)+SUMIF([2]PREAGG_v2_SR7B!A:A,A246,[2]PREAGG_v2_SR7B!D:D)+SUMIF([2]PREAGG_IXR_R6v2!A:A,A246,[2]PREAGG_IXR_R6v2!D:D)+SUMIF([2]CSG_V1!A:A,A246,[2]CSG_V1!D:D)+SUMIF([2]ESA!A:A,A246,[2]ESA!D:D)+SUMIF([2]Accessories!A:A,A246,[2]Accessories!D:D)</f>
        <v>#VALUE!</v>
      </c>
      <c r="D246" s="9"/>
      <c r="E246" s="30" t="s">
        <v>496</v>
      </c>
      <c r="F246" s="14" t="s">
        <v>497</v>
      </c>
      <c r="G246" s="9">
        <v>1</v>
      </c>
      <c r="H246" s="45"/>
      <c r="I246" s="6" t="e">
        <f t="shared" si="15"/>
        <v>#VALUE!</v>
      </c>
      <c r="J246" s="66"/>
      <c r="K246" s="67"/>
      <c r="L246" s="67"/>
    </row>
    <row r="247" spans="1:12" s="6" customFormat="1" ht="60">
      <c r="A247" s="59" t="s">
        <v>498</v>
      </c>
      <c r="B247" s="14" t="s">
        <v>499</v>
      </c>
      <c r="C247" s="10" t="e">
        <f>SUMIF('[2]AGGREGATION to PREAGG_Migration'!A:A,A247,'[2]AGGREGATION to PREAGG_Migration'!D:D)+SUMIF('[2]SR12E&amp;SR7_Card Expansion'!A:A,A247,'[2]SR12E&amp;SR7_Card Expansion'!D:D)+SUMIF('[2]IXR Card Expansion'!A:A,A247,'[2]IXR Card Expansion'!D:D)+SUMIF([2]PREAGG_v2_SR7B!A:A,A247,[2]PREAGG_v2_SR7B!D:D)+SUMIF([2]PREAGG_IXR_R6v2!A:A,A247,[2]PREAGG_IXR_R6v2!D:D)+SUMIF([2]CSG_V1!A:A,A247,[2]CSG_V1!D:D)+SUMIF([2]ESA!A:A,A247,[2]ESA!D:D)+SUMIF([2]Accessories!A:A,A247,[2]Accessories!D:D)</f>
        <v>#VALUE!</v>
      </c>
      <c r="D247" s="9"/>
      <c r="E247" s="59" t="s">
        <v>498</v>
      </c>
      <c r="F247" s="14" t="s">
        <v>499</v>
      </c>
      <c r="G247" s="9">
        <v>1</v>
      </c>
      <c r="H247" s="22"/>
      <c r="I247" s="6" t="e">
        <f t="shared" si="15"/>
        <v>#VALUE!</v>
      </c>
      <c r="J247" s="66"/>
      <c r="K247" s="67"/>
      <c r="L247" s="67"/>
    </row>
    <row r="248" spans="1:12" s="6" customFormat="1" ht="60">
      <c r="A248" s="59" t="s">
        <v>500</v>
      </c>
      <c r="B248" s="14" t="s">
        <v>501</v>
      </c>
      <c r="C248" s="10" t="e">
        <f>SUMIF('[2]AGGREGATION to PREAGG_Migration'!A:A,A248,'[2]AGGREGATION to PREAGG_Migration'!D:D)+SUMIF('[2]SR12E&amp;SR7_Card Expansion'!A:A,A248,'[2]SR12E&amp;SR7_Card Expansion'!D:D)+SUMIF('[2]IXR Card Expansion'!A:A,A248,'[2]IXR Card Expansion'!D:D)+SUMIF([2]PREAGG_v2_SR7B!A:A,A248,[2]PREAGG_v2_SR7B!D:D)+SUMIF([2]PREAGG_IXR_R6v2!A:A,A248,[2]PREAGG_IXR_R6v2!D:D)+SUMIF([2]CSG_V1!A:A,A248,[2]CSG_V1!D:D)+SUMIF([2]ESA!A:A,A248,[2]ESA!D:D)+SUMIF([2]Accessories!A:A,A248,[2]Accessories!D:D)</f>
        <v>#VALUE!</v>
      </c>
      <c r="D248" s="9"/>
      <c r="E248" s="59" t="s">
        <v>500</v>
      </c>
      <c r="F248" s="14" t="s">
        <v>501</v>
      </c>
      <c r="G248" s="73">
        <v>1</v>
      </c>
      <c r="H248" s="22"/>
      <c r="I248" s="6" t="e">
        <f t="shared" si="15"/>
        <v>#VALUE!</v>
      </c>
      <c r="J248" s="66"/>
      <c r="K248" s="67"/>
      <c r="L248" s="67"/>
    </row>
    <row r="249" spans="1:12" s="6" customFormat="1" ht="60">
      <c r="A249" s="59" t="s">
        <v>502</v>
      </c>
      <c r="B249" s="14" t="s">
        <v>503</v>
      </c>
      <c r="C249" s="10" t="e">
        <f>SUMIF('[2]AGGREGATION to PREAGG_Migration'!A:A,A249,'[2]AGGREGATION to PREAGG_Migration'!D:D)+SUMIF('[2]SR12E&amp;SR7_Card Expansion'!A:A,A249,'[2]SR12E&amp;SR7_Card Expansion'!D:D)+SUMIF('[2]IXR Card Expansion'!A:A,A249,'[2]IXR Card Expansion'!D:D)+SUMIF([2]PREAGG_v2_SR7B!A:A,A249,[2]PREAGG_v2_SR7B!D:D)+SUMIF([2]PREAGG_IXR_R6v2!A:A,A249,[2]PREAGG_IXR_R6v2!D:D)+SUMIF([2]CSG_V1!A:A,A249,[2]CSG_V1!D:D)+SUMIF([2]ESA!A:A,A249,[2]ESA!D:D)+SUMIF([2]Accessories!A:A,A249,[2]Accessories!D:D)</f>
        <v>#VALUE!</v>
      </c>
      <c r="D249" s="9"/>
      <c r="E249" s="59" t="s">
        <v>502</v>
      </c>
      <c r="F249" s="14" t="s">
        <v>503</v>
      </c>
      <c r="G249" s="9">
        <v>1</v>
      </c>
      <c r="H249" s="22"/>
      <c r="I249" s="6" t="e">
        <f t="shared" si="15"/>
        <v>#VALUE!</v>
      </c>
      <c r="J249" s="66"/>
      <c r="K249" s="67"/>
      <c r="L249" s="67"/>
    </row>
    <row r="250" spans="1:12" s="6" customFormat="1" ht="60">
      <c r="A250" s="59" t="s">
        <v>504</v>
      </c>
      <c r="B250" s="14" t="s">
        <v>505</v>
      </c>
      <c r="C250" s="10" t="e">
        <f>SUMIF('[2]AGGREGATION to PREAGG_Migration'!A:A,A250,'[2]AGGREGATION to PREAGG_Migration'!D:D)+SUMIF('[2]SR12E&amp;SR7_Card Expansion'!A:A,A250,'[2]SR12E&amp;SR7_Card Expansion'!D:D)+SUMIF('[2]IXR Card Expansion'!A:A,A250,'[2]IXR Card Expansion'!D:D)+SUMIF([2]PREAGG_v2_SR7B!A:A,A250,[2]PREAGG_v2_SR7B!D:D)+SUMIF([2]PREAGG_IXR_R6v2!A:A,A250,[2]PREAGG_IXR_R6v2!D:D)+SUMIF([2]CSG_V1!A:A,A250,[2]CSG_V1!D:D)+SUMIF([2]ESA!A:A,A250,[2]ESA!D:D)+SUMIF([2]Accessories!A:A,A250,[2]Accessories!D:D)</f>
        <v>#VALUE!</v>
      </c>
      <c r="D250" s="9"/>
      <c r="E250" s="59" t="s">
        <v>504</v>
      </c>
      <c r="F250" s="14" t="s">
        <v>505</v>
      </c>
      <c r="G250" s="73">
        <v>1</v>
      </c>
      <c r="H250" s="22"/>
      <c r="I250" s="6" t="e">
        <f t="shared" si="15"/>
        <v>#VALUE!</v>
      </c>
      <c r="J250" s="66"/>
      <c r="K250" s="67"/>
      <c r="L250" s="67"/>
    </row>
    <row r="251" spans="1:12" s="6" customFormat="1" ht="60">
      <c r="A251" s="59" t="s">
        <v>506</v>
      </c>
      <c r="B251" s="14" t="s">
        <v>507</v>
      </c>
      <c r="C251" s="10" t="e">
        <f>SUMIF('[2]AGGREGATION to PREAGG_Migration'!A:A,A251,'[2]AGGREGATION to PREAGG_Migration'!D:D)+SUMIF('[2]SR12E&amp;SR7_Card Expansion'!A:A,A251,'[2]SR12E&amp;SR7_Card Expansion'!D:D)+SUMIF('[2]IXR Card Expansion'!A:A,A251,'[2]IXR Card Expansion'!D:D)+SUMIF([2]PREAGG_v2_SR7B!A:A,A251,[2]PREAGG_v2_SR7B!D:D)+SUMIF([2]PREAGG_IXR_R6v2!A:A,A251,[2]PREAGG_IXR_R6v2!D:D)+SUMIF([2]CSG_V1!A:A,A251,[2]CSG_V1!D:D)+SUMIF([2]ESA!A:A,A251,[2]ESA!D:D)+SUMIF([2]Accessories!A:A,A251,[2]Accessories!D:D)</f>
        <v>#VALUE!</v>
      </c>
      <c r="D251" s="9"/>
      <c r="E251" s="59" t="s">
        <v>506</v>
      </c>
      <c r="F251" s="14" t="s">
        <v>507</v>
      </c>
      <c r="G251" s="9">
        <v>1</v>
      </c>
      <c r="H251" s="22"/>
      <c r="I251" s="6" t="e">
        <f t="shared" si="15"/>
        <v>#VALUE!</v>
      </c>
      <c r="J251" s="66"/>
      <c r="K251" s="67"/>
      <c r="L251" s="67"/>
    </row>
    <row r="252" spans="1:12" s="6" customFormat="1" ht="30">
      <c r="A252" s="59" t="s">
        <v>508</v>
      </c>
      <c r="B252" s="14" t="s">
        <v>509</v>
      </c>
      <c r="C252" s="10" t="e">
        <f>SUMIF('[2]AGGREGATION to PREAGG_Migration'!A:A,A252,'[2]AGGREGATION to PREAGG_Migration'!D:D)+SUMIF('[2]SR12E&amp;SR7_Card Expansion'!A:A,A252,'[2]SR12E&amp;SR7_Card Expansion'!D:D)+SUMIF('[2]IXR Card Expansion'!A:A,A252,'[2]IXR Card Expansion'!D:D)+SUMIF([2]PREAGG_v2_SR7B!A:A,A252,[2]PREAGG_v2_SR7B!D:D)+SUMIF([2]PREAGG_IXR_R6v2!A:A,A252,[2]PREAGG_IXR_R6v2!D:D)+SUMIF([2]CSG_V1!A:A,A252,[2]CSG_V1!D:D)+SUMIF([2]ESA!A:A,A252,[2]ESA!D:D)+SUMIF([2]Accessories!A:A,A252,[2]Accessories!D:D)</f>
        <v>#VALUE!</v>
      </c>
      <c r="D252" s="9"/>
      <c r="E252" s="59" t="s">
        <v>508</v>
      </c>
      <c r="F252" s="14" t="s">
        <v>509</v>
      </c>
      <c r="G252" s="73">
        <v>1</v>
      </c>
      <c r="H252" s="22"/>
      <c r="I252" s="6" t="e">
        <f t="shared" si="15"/>
        <v>#VALUE!</v>
      </c>
      <c r="J252" s="66"/>
      <c r="K252" s="67"/>
      <c r="L252" s="67"/>
    </row>
    <row r="253" spans="1:12" s="6" customFormat="1" ht="30">
      <c r="A253" s="59" t="s">
        <v>510</v>
      </c>
      <c r="B253" s="14" t="s">
        <v>511</v>
      </c>
      <c r="C253" s="10" t="e">
        <f>SUMIF('[2]AGGREGATION to PREAGG_Migration'!A:A,A253,'[2]AGGREGATION to PREAGG_Migration'!D:D)+SUMIF('[2]SR12E&amp;SR7_Card Expansion'!A:A,A253,'[2]SR12E&amp;SR7_Card Expansion'!D:D)+SUMIF('[2]IXR Card Expansion'!A:A,A253,'[2]IXR Card Expansion'!D:D)+SUMIF([2]PREAGG_v2_SR7B!A:A,A253,[2]PREAGG_v2_SR7B!D:D)+SUMIF([2]PREAGG_IXR_R6v2!A:A,A253,[2]PREAGG_IXR_R6v2!D:D)+SUMIF([2]CSG_V1!A:A,A253,[2]CSG_V1!D:D)+SUMIF([2]ESA!A:A,A253,[2]ESA!D:D)+SUMIF([2]Accessories!A:A,A253,[2]Accessories!D:D)</f>
        <v>#VALUE!</v>
      </c>
      <c r="D253" s="9"/>
      <c r="E253" s="59" t="s">
        <v>510</v>
      </c>
      <c r="F253" s="14" t="s">
        <v>511</v>
      </c>
      <c r="G253" s="73">
        <v>1</v>
      </c>
      <c r="H253" s="22"/>
      <c r="I253" s="6" t="e">
        <f t="shared" si="15"/>
        <v>#VALUE!</v>
      </c>
      <c r="J253" s="66"/>
      <c r="K253" s="67"/>
      <c r="L253" s="67"/>
    </row>
    <row r="254" spans="1:12" s="6" customFormat="1" ht="30">
      <c r="A254" s="59" t="s">
        <v>512</v>
      </c>
      <c r="B254" s="14" t="s">
        <v>513</v>
      </c>
      <c r="C254" s="10" t="e">
        <f>SUMIF('[2]AGGREGATION to PREAGG_Migration'!A:A,A254,'[2]AGGREGATION to PREAGG_Migration'!D:D)+SUMIF('[2]SR12E&amp;SR7_Card Expansion'!A:A,A254,'[2]SR12E&amp;SR7_Card Expansion'!D:D)+SUMIF('[2]IXR Card Expansion'!A:A,A254,'[2]IXR Card Expansion'!D:D)+SUMIF([2]PREAGG_v2_SR7B!A:A,A254,[2]PREAGG_v2_SR7B!D:D)+SUMIF([2]PREAGG_IXR_R6v2!A:A,A254,[2]PREAGG_IXR_R6v2!D:D)+SUMIF([2]CSG_V1!A:A,A254,[2]CSG_V1!D:D)+SUMIF([2]ESA!A:A,A254,[2]ESA!D:D)+SUMIF([2]Accessories!A:A,A254,[2]Accessories!D:D)</f>
        <v>#VALUE!</v>
      </c>
      <c r="D254" s="9"/>
      <c r="E254" s="59" t="s">
        <v>512</v>
      </c>
      <c r="F254" s="14" t="s">
        <v>513</v>
      </c>
      <c r="G254" s="9">
        <v>1</v>
      </c>
      <c r="H254" s="22"/>
      <c r="I254" s="6" t="e">
        <f t="shared" si="15"/>
        <v>#VALUE!</v>
      </c>
      <c r="J254" s="66"/>
      <c r="K254" s="67"/>
      <c r="L254" s="67"/>
    </row>
    <row r="255" spans="1:12" s="6" customFormat="1" ht="60">
      <c r="A255" s="59" t="s">
        <v>514</v>
      </c>
      <c r="B255" s="14" t="s">
        <v>515</v>
      </c>
      <c r="C255" s="10" t="e">
        <f>SUMIF('[2]AGGREGATION to PREAGG_Migration'!A:A,A255,'[2]AGGREGATION to PREAGG_Migration'!D:D)+SUMIF('[2]SR12E&amp;SR7_Card Expansion'!A:A,A255,'[2]SR12E&amp;SR7_Card Expansion'!D:D)+SUMIF('[2]IXR Card Expansion'!A:A,A255,'[2]IXR Card Expansion'!D:D)+SUMIF([2]PREAGG_v2_SR7B!A:A,A255,[2]PREAGG_v2_SR7B!D:D)+SUMIF([2]PREAGG_IXR_R6v2!A:A,A255,[2]PREAGG_IXR_R6v2!D:D)+SUMIF([2]CSG_V1!A:A,A255,[2]CSG_V1!D:D)+SUMIF([2]ESA!A:A,A255,[2]ESA!D:D)+SUMIF([2]Accessories!A:A,A255,[2]Accessories!D:D)</f>
        <v>#VALUE!</v>
      </c>
      <c r="D255" s="9"/>
      <c r="E255" s="59" t="s">
        <v>514</v>
      </c>
      <c r="F255" s="14" t="s">
        <v>515</v>
      </c>
      <c r="G255" s="73">
        <v>1</v>
      </c>
      <c r="H255" s="22"/>
      <c r="I255" s="6" t="e">
        <f t="shared" si="15"/>
        <v>#VALUE!</v>
      </c>
      <c r="J255" s="66"/>
      <c r="K255" s="67"/>
      <c r="L255" s="67"/>
    </row>
    <row r="256" spans="1:12" s="6" customFormat="1" ht="60">
      <c r="A256" s="59" t="s">
        <v>516</v>
      </c>
      <c r="B256" s="14" t="s">
        <v>517</v>
      </c>
      <c r="C256" s="10" t="e">
        <f>SUMIF('[2]AGGREGATION to PREAGG_Migration'!A:A,A256,'[2]AGGREGATION to PREAGG_Migration'!D:D)+SUMIF('[2]SR12E&amp;SR7_Card Expansion'!A:A,A256,'[2]SR12E&amp;SR7_Card Expansion'!D:D)+SUMIF('[2]IXR Card Expansion'!A:A,A256,'[2]IXR Card Expansion'!D:D)+SUMIF([2]PREAGG_v2_SR7B!A:A,A256,[2]PREAGG_v2_SR7B!D:D)+SUMIF([2]PREAGG_IXR_R6v2!A:A,A256,[2]PREAGG_IXR_R6v2!D:D)+SUMIF([2]CSG_V1!A:A,A256,[2]CSG_V1!D:D)+SUMIF([2]ESA!A:A,A256,[2]ESA!D:D)+SUMIF([2]Accessories!A:A,A256,[2]Accessories!D:D)</f>
        <v>#VALUE!</v>
      </c>
      <c r="D256" s="9"/>
      <c r="E256" s="59" t="s">
        <v>516</v>
      </c>
      <c r="F256" s="14" t="s">
        <v>517</v>
      </c>
      <c r="G256" s="9">
        <v>1</v>
      </c>
      <c r="H256" s="22"/>
      <c r="I256" s="6" t="e">
        <f t="shared" si="15"/>
        <v>#VALUE!</v>
      </c>
      <c r="J256" s="66"/>
      <c r="K256" s="67"/>
      <c r="L256" s="67"/>
    </row>
    <row r="257" spans="1:12" s="6" customFormat="1" ht="60">
      <c r="A257" s="59" t="s">
        <v>518</v>
      </c>
      <c r="B257" s="14" t="s">
        <v>519</v>
      </c>
      <c r="C257" s="10" t="e">
        <f>SUMIF('[2]AGGREGATION to PREAGG_Migration'!A:A,A257,'[2]AGGREGATION to PREAGG_Migration'!D:D)+SUMIF('[2]SR12E&amp;SR7_Card Expansion'!A:A,A257,'[2]SR12E&amp;SR7_Card Expansion'!D:D)+SUMIF('[2]IXR Card Expansion'!A:A,A257,'[2]IXR Card Expansion'!D:D)+SUMIF([2]PREAGG_v2_SR7B!A:A,A257,[2]PREAGG_v2_SR7B!D:D)+SUMIF([2]PREAGG_IXR_R6v2!A:A,A257,[2]PREAGG_IXR_R6v2!D:D)+SUMIF([2]CSG_V1!A:A,A257,[2]CSG_V1!D:D)+SUMIF([2]ESA!A:A,A257,[2]ESA!D:D)+SUMIF([2]Accessories!A:A,A257,[2]Accessories!D:D)</f>
        <v>#VALUE!</v>
      </c>
      <c r="D257" s="9"/>
      <c r="E257" s="59" t="s">
        <v>518</v>
      </c>
      <c r="F257" s="14" t="s">
        <v>519</v>
      </c>
      <c r="G257" s="73">
        <v>1</v>
      </c>
      <c r="H257" s="22"/>
      <c r="I257" s="6" t="e">
        <f t="shared" si="15"/>
        <v>#VALUE!</v>
      </c>
      <c r="J257" s="66"/>
      <c r="K257" s="67"/>
      <c r="L257" s="67"/>
    </row>
    <row r="258" spans="1:12" s="6" customFormat="1" ht="45">
      <c r="A258" s="59" t="s">
        <v>520</v>
      </c>
      <c r="B258" s="14" t="s">
        <v>521</v>
      </c>
      <c r="C258" s="10" t="e">
        <f>SUMIF('[2]AGGREGATION to PREAGG_Migration'!A:A,A258,'[2]AGGREGATION to PREAGG_Migration'!D:D)+SUMIF('[2]SR12E&amp;SR7_Card Expansion'!A:A,A258,'[2]SR12E&amp;SR7_Card Expansion'!D:D)+SUMIF('[2]IXR Card Expansion'!A:A,A258,'[2]IXR Card Expansion'!D:D)+SUMIF([2]PREAGG_v2_SR7B!A:A,A258,[2]PREAGG_v2_SR7B!D:D)+SUMIF([2]PREAGG_IXR_R6v2!A:A,A258,[2]PREAGG_IXR_R6v2!D:D)+SUMIF([2]CSG_V1!A:A,A258,[2]CSG_V1!D:D)+SUMIF([2]ESA!A:A,A258,[2]ESA!D:D)+SUMIF([2]Accessories!A:A,A258,[2]Accessories!D:D)</f>
        <v>#VALUE!</v>
      </c>
      <c r="D258" s="9"/>
      <c r="E258" s="59" t="s">
        <v>520</v>
      </c>
      <c r="F258" s="14" t="s">
        <v>521</v>
      </c>
      <c r="G258" s="9">
        <v>1</v>
      </c>
      <c r="H258" s="22"/>
      <c r="I258" s="6" t="e">
        <f t="shared" si="15"/>
        <v>#VALUE!</v>
      </c>
      <c r="J258" s="66"/>
      <c r="K258" s="67"/>
      <c r="L258" s="67"/>
    </row>
    <row r="259" spans="1:12" s="6" customFormat="1" ht="45">
      <c r="A259" s="59" t="s">
        <v>522</v>
      </c>
      <c r="B259" s="14" t="s">
        <v>523</v>
      </c>
      <c r="C259" s="10" t="e">
        <f>SUMIF('[2]AGGREGATION to PREAGG_Migration'!A:A,A259,'[2]AGGREGATION to PREAGG_Migration'!D:D)+SUMIF('[2]SR12E&amp;SR7_Card Expansion'!A:A,A259,'[2]SR12E&amp;SR7_Card Expansion'!D:D)+SUMIF('[2]IXR Card Expansion'!A:A,A259,'[2]IXR Card Expansion'!D:D)+SUMIF([2]PREAGG_v2_SR7B!A:A,A259,[2]PREAGG_v2_SR7B!D:D)+SUMIF([2]PREAGG_IXR_R6v2!A:A,A259,[2]PREAGG_IXR_R6v2!D:D)+SUMIF([2]CSG_V1!A:A,A259,[2]CSG_V1!D:D)+SUMIF([2]ESA!A:A,A259,[2]ESA!D:D)+SUMIF([2]Accessories!A:A,A259,[2]Accessories!D:D)</f>
        <v>#VALUE!</v>
      </c>
      <c r="D259" s="9"/>
      <c r="E259" s="59" t="s">
        <v>522</v>
      </c>
      <c r="F259" s="14" t="s">
        <v>523</v>
      </c>
      <c r="G259" s="73">
        <v>1</v>
      </c>
      <c r="H259" s="22"/>
      <c r="I259" s="6" t="e">
        <f t="shared" si="15"/>
        <v>#VALUE!</v>
      </c>
      <c r="J259" s="66"/>
      <c r="K259" s="67"/>
      <c r="L259" s="67"/>
    </row>
    <row r="260" spans="1:12" s="6" customFormat="1" ht="60">
      <c r="A260" s="59" t="s">
        <v>524</v>
      </c>
      <c r="B260" s="14" t="s">
        <v>525</v>
      </c>
      <c r="C260" s="10" t="e">
        <f>SUMIF('[2]AGGREGATION to PREAGG_Migration'!A:A,A260,'[2]AGGREGATION to PREAGG_Migration'!D:D)+SUMIF('[2]SR12E&amp;SR7_Card Expansion'!A:A,A260,'[2]SR12E&amp;SR7_Card Expansion'!D:D)+SUMIF('[2]IXR Card Expansion'!A:A,A260,'[2]IXR Card Expansion'!D:D)+SUMIF([2]PREAGG_v2_SR7B!A:A,A260,[2]PREAGG_v2_SR7B!D:D)+SUMIF([2]PREAGG_IXR_R6v2!A:A,A260,[2]PREAGG_IXR_R6v2!D:D)+SUMIF([2]CSG_V1!A:A,A260,[2]CSG_V1!D:D)+SUMIF([2]ESA!A:A,A260,[2]ESA!D:D)+SUMIF([2]Accessories!A:A,A260,[2]Accessories!D:D)</f>
        <v>#VALUE!</v>
      </c>
      <c r="D260" s="9"/>
      <c r="E260" s="59" t="s">
        <v>524</v>
      </c>
      <c r="F260" s="14" t="s">
        <v>525</v>
      </c>
      <c r="G260" s="9">
        <v>1</v>
      </c>
      <c r="H260" s="22"/>
      <c r="I260" s="6" t="e">
        <f t="shared" si="15"/>
        <v>#VALUE!</v>
      </c>
      <c r="J260" s="66"/>
      <c r="K260" s="67"/>
      <c r="L260" s="67"/>
    </row>
    <row r="261" spans="1:12" s="6" customFormat="1" ht="60">
      <c r="A261" s="59" t="s">
        <v>526</v>
      </c>
      <c r="B261" s="14" t="s">
        <v>527</v>
      </c>
      <c r="C261" s="10" t="e">
        <f>SUMIF('[2]AGGREGATION to PREAGG_Migration'!A:A,A261,'[2]AGGREGATION to PREAGG_Migration'!D:D)+SUMIF('[2]SR12E&amp;SR7_Card Expansion'!A:A,A261,'[2]SR12E&amp;SR7_Card Expansion'!D:D)+SUMIF('[2]IXR Card Expansion'!A:A,A261,'[2]IXR Card Expansion'!D:D)+SUMIF([2]PREAGG_v2_SR7B!A:A,A261,[2]PREAGG_v2_SR7B!D:D)+SUMIF([2]PREAGG_IXR_R6v2!A:A,A261,[2]PREAGG_IXR_R6v2!D:D)+SUMIF([2]CSG_V1!A:A,A261,[2]CSG_V1!D:D)+SUMIF([2]ESA!A:A,A261,[2]ESA!D:D)+SUMIF([2]Accessories!A:A,A261,[2]Accessories!D:D)</f>
        <v>#VALUE!</v>
      </c>
      <c r="D261" s="9"/>
      <c r="E261" s="59" t="s">
        <v>526</v>
      </c>
      <c r="F261" s="14" t="s">
        <v>527</v>
      </c>
      <c r="G261" s="73">
        <v>1</v>
      </c>
      <c r="H261" s="22"/>
      <c r="I261" s="6" t="e">
        <f t="shared" si="15"/>
        <v>#VALUE!</v>
      </c>
      <c r="J261" s="66"/>
      <c r="K261" s="67"/>
      <c r="L261" s="67"/>
    </row>
    <row r="262" spans="1:12" s="6" customFormat="1" ht="30">
      <c r="A262" s="59" t="s">
        <v>528</v>
      </c>
      <c r="B262" s="14" t="s">
        <v>529</v>
      </c>
      <c r="C262" s="10" t="e">
        <f>SUMIF('[2]AGGREGATION to PREAGG_Migration'!A:A,A262,'[2]AGGREGATION to PREAGG_Migration'!D:D)+SUMIF('[2]SR12E&amp;SR7_Card Expansion'!A:A,A262,'[2]SR12E&amp;SR7_Card Expansion'!D:D)+SUMIF('[2]IXR Card Expansion'!A:A,A262,'[2]IXR Card Expansion'!D:D)+SUMIF([2]PREAGG_v2_SR7B!A:A,A262,[2]PREAGG_v2_SR7B!D:D)+SUMIF([2]PREAGG_IXR_R6v2!A:A,A262,[2]PREAGG_IXR_R6v2!D:D)+SUMIF([2]CSG_V1!A:A,A262,[2]CSG_V1!D:D)+SUMIF([2]ESA!A:A,A262,[2]ESA!D:D)+SUMIF([2]Accessories!A:A,A262,[2]Accessories!D:D)</f>
        <v>#VALUE!</v>
      </c>
      <c r="D262" s="9"/>
      <c r="E262" s="59" t="s">
        <v>528</v>
      </c>
      <c r="F262" s="14" t="s">
        <v>529</v>
      </c>
      <c r="G262" s="9">
        <v>1</v>
      </c>
      <c r="H262" s="22"/>
      <c r="I262" s="6" t="e">
        <f t="shared" si="15"/>
        <v>#VALUE!</v>
      </c>
      <c r="J262" s="66"/>
      <c r="K262" s="67"/>
      <c r="L262" s="67"/>
    </row>
    <row r="263" spans="1:12" s="6" customFormat="1" ht="45">
      <c r="A263" s="59" t="s">
        <v>530</v>
      </c>
      <c r="B263" s="14" t="s">
        <v>531</v>
      </c>
      <c r="C263" s="10" t="e">
        <f>SUMIF('[2]AGGREGATION to PREAGG_Migration'!A:A,A263,'[2]AGGREGATION to PREAGG_Migration'!D:D)+SUMIF('[2]SR12E&amp;SR7_Card Expansion'!A:A,A263,'[2]SR12E&amp;SR7_Card Expansion'!D:D)+SUMIF('[2]IXR Card Expansion'!A:A,A263,'[2]IXR Card Expansion'!D:D)+SUMIF([2]PREAGG_v2_SR7B!A:A,A263,[2]PREAGG_v2_SR7B!D:D)+SUMIF([2]PREAGG_IXR_R6v2!A:A,A263,[2]PREAGG_IXR_R6v2!D:D)+SUMIF([2]CSG_V1!A:A,A263,[2]CSG_V1!D:D)+SUMIF([2]ESA!A:A,A263,[2]ESA!D:D)+SUMIF([2]Accessories!A:A,A263,[2]Accessories!D:D)</f>
        <v>#VALUE!</v>
      </c>
      <c r="D263" s="9"/>
      <c r="E263" s="59" t="s">
        <v>530</v>
      </c>
      <c r="F263" s="14" t="s">
        <v>531</v>
      </c>
      <c r="G263" s="73">
        <v>1</v>
      </c>
      <c r="H263" s="22"/>
      <c r="I263" s="6" t="e">
        <f t="shared" si="15"/>
        <v>#VALUE!</v>
      </c>
      <c r="J263" s="66"/>
      <c r="K263" s="67"/>
      <c r="L263" s="67"/>
    </row>
    <row r="264" spans="1:12" s="6" customFormat="1" ht="45">
      <c r="A264" s="59" t="s">
        <v>532</v>
      </c>
      <c r="B264" s="14" t="s">
        <v>533</v>
      </c>
      <c r="C264" s="10" t="e">
        <f>SUMIF('[2]AGGREGATION to PREAGG_Migration'!A:A,A264,'[2]AGGREGATION to PREAGG_Migration'!D:D)+SUMIF('[2]SR12E&amp;SR7_Card Expansion'!A:A,A264,'[2]SR12E&amp;SR7_Card Expansion'!D:D)+SUMIF('[2]IXR Card Expansion'!A:A,A264,'[2]IXR Card Expansion'!D:D)+SUMIF([2]PREAGG_v2_SR7B!A:A,A264,[2]PREAGG_v2_SR7B!D:D)+SUMIF([2]PREAGG_IXR_R6v2!A:A,A264,[2]PREAGG_IXR_R6v2!D:D)+SUMIF([2]CSG_V1!A:A,A264,[2]CSG_V1!D:D)+SUMIF([2]ESA!A:A,A264,[2]ESA!D:D)+SUMIF([2]Accessories!A:A,A264,[2]Accessories!D:D)</f>
        <v>#VALUE!</v>
      </c>
      <c r="D264" s="9"/>
      <c r="E264" s="59" t="s">
        <v>532</v>
      </c>
      <c r="F264" s="14" t="s">
        <v>533</v>
      </c>
      <c r="G264" s="9">
        <v>1</v>
      </c>
      <c r="H264" s="22"/>
      <c r="I264" s="6" t="e">
        <f t="shared" si="15"/>
        <v>#VALUE!</v>
      </c>
      <c r="J264" s="66"/>
      <c r="K264" s="67"/>
      <c r="L264" s="67"/>
    </row>
    <row r="265" spans="1:12" s="6" customFormat="1" ht="45">
      <c r="A265" s="59" t="s">
        <v>534</v>
      </c>
      <c r="B265" s="14" t="s">
        <v>535</v>
      </c>
      <c r="C265" s="10" t="e">
        <f>SUMIF('[2]AGGREGATION to PREAGG_Migration'!A:A,A265,'[2]AGGREGATION to PREAGG_Migration'!D:D)+SUMIF('[2]SR12E&amp;SR7_Card Expansion'!A:A,A265,'[2]SR12E&amp;SR7_Card Expansion'!D:D)+SUMIF('[2]IXR Card Expansion'!A:A,A265,'[2]IXR Card Expansion'!D:D)+SUMIF([2]PREAGG_v2_SR7B!A:A,A265,[2]PREAGG_v2_SR7B!D:D)+SUMIF([2]PREAGG_IXR_R6v2!A:A,A265,[2]PREAGG_IXR_R6v2!D:D)+SUMIF([2]CSG_V1!A:A,A265,[2]CSG_V1!D:D)+SUMIF([2]ESA!A:A,A265,[2]ESA!D:D)+SUMIF([2]Accessories!A:A,A265,[2]Accessories!D:D)</f>
        <v>#VALUE!</v>
      </c>
      <c r="D265" s="9"/>
      <c r="E265" s="59" t="s">
        <v>534</v>
      </c>
      <c r="F265" s="14" t="s">
        <v>535</v>
      </c>
      <c r="G265" s="73">
        <v>1</v>
      </c>
      <c r="H265" s="22"/>
      <c r="I265" s="6" t="e">
        <f t="shared" si="15"/>
        <v>#VALUE!</v>
      </c>
      <c r="J265" s="66"/>
      <c r="K265" s="67"/>
      <c r="L265" s="67"/>
    </row>
    <row r="266" spans="1:12" s="6" customFormat="1">
      <c r="A266" s="59" t="s">
        <v>536</v>
      </c>
      <c r="B266" s="17" t="s">
        <v>537</v>
      </c>
      <c r="C266" s="10" t="e">
        <f>SUMIF('[2]AGGREGATION to PREAGG_Migration'!A:A,A266,'[2]AGGREGATION to PREAGG_Migration'!D:D)+SUMIF('[2]SR12E&amp;SR7_Card Expansion'!A:A,A266,'[2]SR12E&amp;SR7_Card Expansion'!D:D)+SUMIF('[2]IXR Card Expansion'!A:A,A266,'[2]IXR Card Expansion'!D:D)+SUMIF([2]PREAGG_v2_SR7B!A:A,A266,[2]PREAGG_v2_SR7B!D:D)+SUMIF([2]PREAGG_IXR_R6v2!A:A,A266,[2]PREAGG_IXR_R6v2!D:D)+SUMIF([2]CSG_V1!A:A,A266,[2]CSG_V1!D:D)+SUMIF([2]ESA!A:A,A266,[2]ESA!D:D)+SUMIF([2]Accessories!A:A,A266,[2]Accessories!D:D)</f>
        <v>#VALUE!</v>
      </c>
      <c r="D266" s="9"/>
      <c r="E266" s="59" t="s">
        <v>536</v>
      </c>
      <c r="F266" s="17" t="s">
        <v>537</v>
      </c>
      <c r="G266" s="9">
        <v>1</v>
      </c>
      <c r="H266" s="22"/>
      <c r="I266" s="6" t="e">
        <f t="shared" si="15"/>
        <v>#VALUE!</v>
      </c>
      <c r="J266" s="66"/>
      <c r="K266" s="67"/>
      <c r="L266" s="67"/>
    </row>
    <row r="267" spans="1:12" s="6" customFormat="1">
      <c r="A267" s="59" t="s">
        <v>538</v>
      </c>
      <c r="B267" s="17" t="s">
        <v>539</v>
      </c>
      <c r="C267" s="10" t="e">
        <f>SUMIF('[2]AGGREGATION to PREAGG_Migration'!A:A,A267,'[2]AGGREGATION to PREAGG_Migration'!D:D)+SUMIF('[2]SR12E&amp;SR7_Card Expansion'!A:A,A267,'[2]SR12E&amp;SR7_Card Expansion'!D:D)+SUMIF('[2]IXR Card Expansion'!A:A,A267,'[2]IXR Card Expansion'!D:D)+SUMIF([2]PREAGG_v2_SR7B!A:A,A267,[2]PREAGG_v2_SR7B!D:D)+SUMIF([2]PREAGG_IXR_R6v2!A:A,A267,[2]PREAGG_IXR_R6v2!D:D)+SUMIF([2]CSG_V1!A:A,A267,[2]CSG_V1!D:D)+SUMIF([2]ESA!A:A,A267,[2]ESA!D:D)+SUMIF([2]Accessories!A:A,A267,[2]Accessories!D:D)</f>
        <v>#VALUE!</v>
      </c>
      <c r="D267" s="9"/>
      <c r="E267" s="59" t="s">
        <v>538</v>
      </c>
      <c r="F267" s="17" t="s">
        <v>539</v>
      </c>
      <c r="G267" s="73">
        <v>1</v>
      </c>
      <c r="H267" s="22"/>
      <c r="I267" s="6" t="e">
        <f t="shared" si="15"/>
        <v>#VALUE!</v>
      </c>
      <c r="J267" s="66"/>
      <c r="K267" s="67"/>
      <c r="L267" s="67"/>
    </row>
    <row r="268" spans="1:12" s="6" customFormat="1">
      <c r="A268" s="59" t="s">
        <v>540</v>
      </c>
      <c r="B268" s="17" t="s">
        <v>541</v>
      </c>
      <c r="C268" s="10" t="e">
        <f>SUMIF('[2]AGGREGATION to PREAGG_Migration'!A:A,A268,'[2]AGGREGATION to PREAGG_Migration'!D:D)+SUMIF('[2]SR12E&amp;SR7_Card Expansion'!A:A,A268,'[2]SR12E&amp;SR7_Card Expansion'!D:D)+SUMIF('[2]IXR Card Expansion'!A:A,A268,'[2]IXR Card Expansion'!D:D)+SUMIF([2]PREAGG_v2_SR7B!A:A,A268,[2]PREAGG_v2_SR7B!D:D)+SUMIF([2]PREAGG_IXR_R6v2!A:A,A268,[2]PREAGG_IXR_R6v2!D:D)+SUMIF([2]CSG_V1!A:A,A268,[2]CSG_V1!D:D)+SUMIF([2]ESA!A:A,A268,[2]ESA!D:D)+SUMIF([2]Accessories!A:A,A268,[2]Accessories!D:D)</f>
        <v>#VALUE!</v>
      </c>
      <c r="D268" s="9"/>
      <c r="E268" s="59" t="s">
        <v>540</v>
      </c>
      <c r="F268" s="17" t="s">
        <v>541</v>
      </c>
      <c r="G268" s="9">
        <v>1</v>
      </c>
      <c r="H268" s="22"/>
      <c r="I268" s="6" t="e">
        <f t="shared" si="15"/>
        <v>#VALUE!</v>
      </c>
      <c r="J268" s="66"/>
      <c r="K268" s="67"/>
      <c r="L268" s="67"/>
    </row>
    <row r="269" spans="1:12" s="6" customFormat="1">
      <c r="A269" s="59" t="s">
        <v>542</v>
      </c>
      <c r="B269" s="17" t="s">
        <v>543</v>
      </c>
      <c r="C269" s="10" t="e">
        <f>SUMIF('[2]AGGREGATION to PREAGG_Migration'!A:A,A269,'[2]AGGREGATION to PREAGG_Migration'!D:D)+SUMIF('[2]SR12E&amp;SR7_Card Expansion'!A:A,A269,'[2]SR12E&amp;SR7_Card Expansion'!D:D)+SUMIF('[2]IXR Card Expansion'!A:A,A269,'[2]IXR Card Expansion'!D:D)+SUMIF([2]PREAGG_v2_SR7B!A:A,A269,[2]PREAGG_v2_SR7B!D:D)+SUMIF([2]PREAGG_IXR_R6v2!A:A,A269,[2]PREAGG_IXR_R6v2!D:D)+SUMIF([2]CSG_V1!A:A,A269,[2]CSG_V1!D:D)+SUMIF([2]ESA!A:A,A269,[2]ESA!D:D)+SUMIF([2]Accessories!A:A,A269,[2]Accessories!D:D)</f>
        <v>#VALUE!</v>
      </c>
      <c r="D269" s="9"/>
      <c r="E269" s="59" t="s">
        <v>542</v>
      </c>
      <c r="F269" s="17" t="s">
        <v>543</v>
      </c>
      <c r="G269" s="73">
        <v>1</v>
      </c>
      <c r="H269" s="22"/>
      <c r="I269" s="6" t="e">
        <f t="shared" si="15"/>
        <v>#VALUE!</v>
      </c>
      <c r="J269" s="66"/>
      <c r="K269" s="67"/>
      <c r="L269" s="67"/>
    </row>
    <row r="270" spans="1:12" s="6" customFormat="1">
      <c r="A270" s="59" t="s">
        <v>544</v>
      </c>
      <c r="B270" s="17" t="s">
        <v>545</v>
      </c>
      <c r="C270" s="10" t="e">
        <f>SUMIF('[2]AGGREGATION to PREAGG_Migration'!A:A,A270,'[2]AGGREGATION to PREAGG_Migration'!D:D)+SUMIF('[2]SR12E&amp;SR7_Card Expansion'!A:A,A270,'[2]SR12E&amp;SR7_Card Expansion'!D:D)+SUMIF('[2]IXR Card Expansion'!A:A,A270,'[2]IXR Card Expansion'!D:D)+SUMIF([2]PREAGG_v2_SR7B!A:A,A270,[2]PREAGG_v2_SR7B!D:D)+SUMIF([2]PREAGG_IXR_R6v2!A:A,A270,[2]PREAGG_IXR_R6v2!D:D)+SUMIF([2]CSG_V1!A:A,A270,[2]CSG_V1!D:D)+SUMIF([2]ESA!A:A,A270,[2]ESA!D:D)+SUMIF([2]Accessories!A:A,A270,[2]Accessories!D:D)</f>
        <v>#VALUE!</v>
      </c>
      <c r="D270" s="9"/>
      <c r="E270" s="59" t="s">
        <v>544</v>
      </c>
      <c r="F270" s="17" t="s">
        <v>545</v>
      </c>
      <c r="G270" s="9">
        <v>1</v>
      </c>
      <c r="H270" s="22"/>
      <c r="I270" s="6" t="e">
        <f t="shared" si="15"/>
        <v>#VALUE!</v>
      </c>
      <c r="J270" s="66"/>
      <c r="K270" s="67"/>
      <c r="L270" s="67"/>
    </row>
    <row r="271" spans="1:12" s="6" customFormat="1">
      <c r="A271" s="59" t="s">
        <v>546</v>
      </c>
      <c r="B271" s="17" t="s">
        <v>547</v>
      </c>
      <c r="C271" s="10" t="e">
        <f>SUMIF('[2]AGGREGATION to PREAGG_Migration'!A:A,A271,'[2]AGGREGATION to PREAGG_Migration'!D:D)+SUMIF('[2]SR12E&amp;SR7_Card Expansion'!A:A,A271,'[2]SR12E&amp;SR7_Card Expansion'!D:D)+SUMIF('[2]IXR Card Expansion'!A:A,A271,'[2]IXR Card Expansion'!D:D)+SUMIF([2]PREAGG_v2_SR7B!A:A,A271,[2]PREAGG_v2_SR7B!D:D)+SUMIF([2]PREAGG_IXR_R6v2!A:A,A271,[2]PREAGG_IXR_R6v2!D:D)+SUMIF([2]CSG_V1!A:A,A271,[2]CSG_V1!D:D)+SUMIF([2]ESA!A:A,A271,[2]ESA!D:D)+SUMIF([2]Accessories!A:A,A271,[2]Accessories!D:D)</f>
        <v>#VALUE!</v>
      </c>
      <c r="D271" s="9"/>
      <c r="E271" s="59" t="s">
        <v>546</v>
      </c>
      <c r="F271" s="17" t="s">
        <v>547</v>
      </c>
      <c r="G271" s="73">
        <v>1</v>
      </c>
      <c r="H271" s="22"/>
      <c r="I271" s="6" t="e">
        <f t="shared" si="15"/>
        <v>#VALUE!</v>
      </c>
      <c r="J271" s="66"/>
      <c r="K271" s="67"/>
      <c r="L271" s="67"/>
    </row>
    <row r="272" spans="1:12" s="6" customFormat="1">
      <c r="A272" s="59" t="s">
        <v>548</v>
      </c>
      <c r="B272" s="17" t="s">
        <v>549</v>
      </c>
      <c r="C272" s="10" t="e">
        <f>SUMIF('[2]AGGREGATION to PREAGG_Migration'!A:A,A272,'[2]AGGREGATION to PREAGG_Migration'!D:D)+SUMIF('[2]SR12E&amp;SR7_Card Expansion'!A:A,A272,'[2]SR12E&amp;SR7_Card Expansion'!D:D)+SUMIF('[2]IXR Card Expansion'!A:A,A272,'[2]IXR Card Expansion'!D:D)+SUMIF([2]PREAGG_v2_SR7B!A:A,A272,[2]PREAGG_v2_SR7B!D:D)+SUMIF([2]PREAGG_IXR_R6v2!A:A,A272,[2]PREAGG_IXR_R6v2!D:D)+SUMIF([2]CSG_V1!A:A,A272,[2]CSG_V1!D:D)+SUMIF([2]ESA!A:A,A272,[2]ESA!D:D)+SUMIF([2]Accessories!A:A,A272,[2]Accessories!D:D)</f>
        <v>#VALUE!</v>
      </c>
      <c r="D272" s="9"/>
      <c r="E272" s="59" t="s">
        <v>548</v>
      </c>
      <c r="F272" s="17" t="s">
        <v>549</v>
      </c>
      <c r="G272" s="9">
        <v>1</v>
      </c>
      <c r="H272" s="22"/>
      <c r="I272" s="6" t="e">
        <f t="shared" si="15"/>
        <v>#VALUE!</v>
      </c>
      <c r="J272" s="66"/>
      <c r="K272" s="67"/>
      <c r="L272" s="67"/>
    </row>
    <row r="273" spans="1:12" s="6" customFormat="1">
      <c r="A273" s="59" t="s">
        <v>550</v>
      </c>
      <c r="B273" s="17" t="s">
        <v>551</v>
      </c>
      <c r="C273" s="10" t="e">
        <f>SUMIF('[2]AGGREGATION to PREAGG_Migration'!A:A,A273,'[2]AGGREGATION to PREAGG_Migration'!D:D)+SUMIF('[2]SR12E&amp;SR7_Card Expansion'!A:A,A273,'[2]SR12E&amp;SR7_Card Expansion'!D:D)+SUMIF('[2]IXR Card Expansion'!A:A,A273,'[2]IXR Card Expansion'!D:D)+SUMIF([2]PREAGG_v2_SR7B!A:A,A273,[2]PREAGG_v2_SR7B!D:D)+SUMIF([2]PREAGG_IXR_R6v2!A:A,A273,[2]PREAGG_IXR_R6v2!D:D)+SUMIF([2]CSG_V1!A:A,A273,[2]CSG_V1!D:D)+SUMIF([2]ESA!A:A,A273,[2]ESA!D:D)+SUMIF([2]Accessories!A:A,A273,[2]Accessories!D:D)</f>
        <v>#VALUE!</v>
      </c>
      <c r="D273" s="9"/>
      <c r="E273" s="59" t="s">
        <v>550</v>
      </c>
      <c r="F273" s="17" t="s">
        <v>551</v>
      </c>
      <c r="G273" s="73">
        <v>1</v>
      </c>
      <c r="H273" s="22"/>
      <c r="I273" s="6" t="e">
        <f t="shared" si="15"/>
        <v>#VALUE!</v>
      </c>
      <c r="J273" s="66"/>
      <c r="K273" s="67"/>
      <c r="L273" s="67"/>
    </row>
    <row r="274" spans="1:12" s="6" customFormat="1">
      <c r="A274" s="59" t="s">
        <v>552</v>
      </c>
      <c r="B274" s="17" t="s">
        <v>553</v>
      </c>
      <c r="C274" s="10" t="e">
        <f>SUMIF('[2]AGGREGATION to PREAGG_Migration'!A:A,A274,'[2]AGGREGATION to PREAGG_Migration'!D:D)+SUMIF('[2]SR12E&amp;SR7_Card Expansion'!A:A,A274,'[2]SR12E&amp;SR7_Card Expansion'!D:D)+SUMIF('[2]IXR Card Expansion'!A:A,A274,'[2]IXR Card Expansion'!D:D)+SUMIF([2]PREAGG_v2_SR7B!A:A,A274,[2]PREAGG_v2_SR7B!D:D)+SUMIF([2]PREAGG_IXR_R6v2!A:A,A274,[2]PREAGG_IXR_R6v2!D:D)+SUMIF([2]CSG_V1!A:A,A274,[2]CSG_V1!D:D)+SUMIF([2]ESA!A:A,A274,[2]ESA!D:D)+SUMIF([2]Accessories!A:A,A274,[2]Accessories!D:D)</f>
        <v>#VALUE!</v>
      </c>
      <c r="D274" s="9"/>
      <c r="E274" s="59" t="s">
        <v>552</v>
      </c>
      <c r="F274" s="17" t="s">
        <v>553</v>
      </c>
      <c r="G274" s="9">
        <v>1</v>
      </c>
      <c r="H274" s="22"/>
      <c r="I274" s="6" t="e">
        <f t="shared" si="15"/>
        <v>#VALUE!</v>
      </c>
      <c r="J274" s="66"/>
      <c r="K274" s="67"/>
      <c r="L274" s="67"/>
    </row>
    <row r="275" spans="1:12" s="6" customFormat="1" ht="165">
      <c r="A275" s="59" t="s">
        <v>554</v>
      </c>
      <c r="B275" s="14" t="s">
        <v>555</v>
      </c>
      <c r="C275" s="10" t="e">
        <f>SUMIF('[2]AGGREGATION to PREAGG_Migration'!A:A,A275,'[2]AGGREGATION to PREAGG_Migration'!D:D)+SUMIF('[2]SR12E&amp;SR7_Card Expansion'!A:A,A275,'[2]SR12E&amp;SR7_Card Expansion'!D:D)+SUMIF('[2]IXR Card Expansion'!A:A,A275,'[2]IXR Card Expansion'!D:D)+SUMIF([2]PREAGG_v2_SR7B!A:A,A275,[2]PREAGG_v2_SR7B!D:D)+SUMIF([2]PREAGG_IXR_R6v2!A:A,A275,[2]PREAGG_IXR_R6v2!D:D)+SUMIF([2]CSG_V1!A:A,A275,[2]CSG_V1!D:D)+SUMIF([2]ESA!A:A,A275,[2]ESA!D:D)+SUMIF([2]Accessories!A:A,A275,[2]Accessories!D:D)</f>
        <v>#VALUE!</v>
      </c>
      <c r="D275" s="9"/>
      <c r="E275" s="59" t="s">
        <v>554</v>
      </c>
      <c r="F275" s="14" t="s">
        <v>555</v>
      </c>
      <c r="G275" s="73">
        <v>1</v>
      </c>
      <c r="H275" s="22"/>
      <c r="I275" s="6" t="e">
        <f t="shared" si="15"/>
        <v>#VALUE!</v>
      </c>
      <c r="J275" s="66"/>
      <c r="K275" s="67"/>
      <c r="L275" s="67"/>
    </row>
    <row r="276" spans="1:12" s="6" customFormat="1">
      <c r="A276" s="59" t="s">
        <v>556</v>
      </c>
      <c r="B276" s="17" t="s">
        <v>557</v>
      </c>
      <c r="C276" s="10" t="e">
        <f>SUMIF('[2]AGGREGATION to PREAGG_Migration'!A:A,A276,'[2]AGGREGATION to PREAGG_Migration'!D:D)+SUMIF('[2]SR12E&amp;SR7_Card Expansion'!A:A,A276,'[2]SR12E&amp;SR7_Card Expansion'!D:D)+SUMIF('[2]IXR Card Expansion'!A:A,A276,'[2]IXR Card Expansion'!D:D)+SUMIF([2]PREAGG_v2_SR7B!A:A,A276,[2]PREAGG_v2_SR7B!D:D)+SUMIF([2]PREAGG_IXR_R6v2!A:A,A276,[2]PREAGG_IXR_R6v2!D:D)+SUMIF([2]CSG_V1!A:A,A276,[2]CSG_V1!D:D)+SUMIF([2]ESA!A:A,A276,[2]ESA!D:D)+SUMIF([2]Accessories!A:A,A276,[2]Accessories!D:D)</f>
        <v>#VALUE!</v>
      </c>
      <c r="D276" s="9"/>
      <c r="E276" s="59" t="s">
        <v>556</v>
      </c>
      <c r="F276" s="17" t="s">
        <v>557</v>
      </c>
      <c r="G276" s="9">
        <v>1</v>
      </c>
      <c r="H276" s="22"/>
      <c r="I276" s="6" t="e">
        <f t="shared" si="15"/>
        <v>#VALUE!</v>
      </c>
      <c r="J276" s="66"/>
      <c r="K276" s="67"/>
      <c r="L276" s="67"/>
    </row>
    <row r="277" spans="1:12" s="6" customFormat="1">
      <c r="A277" s="59" t="s">
        <v>558</v>
      </c>
      <c r="B277" s="17" t="s">
        <v>559</v>
      </c>
      <c r="C277" s="10" t="e">
        <f>SUMIF('[2]AGGREGATION to PREAGG_Migration'!A:A,A277,'[2]AGGREGATION to PREAGG_Migration'!D:D)+SUMIF('[2]SR12E&amp;SR7_Card Expansion'!A:A,A277,'[2]SR12E&amp;SR7_Card Expansion'!D:D)+SUMIF('[2]IXR Card Expansion'!A:A,A277,'[2]IXR Card Expansion'!D:D)+SUMIF([2]PREAGG_v2_SR7B!A:A,A277,[2]PREAGG_v2_SR7B!D:D)+SUMIF([2]PREAGG_IXR_R6v2!A:A,A277,[2]PREAGG_IXR_R6v2!D:D)+SUMIF([2]CSG_V1!A:A,A277,[2]CSG_V1!D:D)+SUMIF([2]ESA!A:A,A277,[2]ESA!D:D)+SUMIF([2]Accessories!A:A,A277,[2]Accessories!D:D)</f>
        <v>#VALUE!</v>
      </c>
      <c r="D277" s="9"/>
      <c r="E277" s="59" t="s">
        <v>558</v>
      </c>
      <c r="F277" s="17" t="s">
        <v>559</v>
      </c>
      <c r="G277" s="73">
        <v>1</v>
      </c>
      <c r="H277" s="22"/>
      <c r="I277" s="6" t="e">
        <f t="shared" si="15"/>
        <v>#VALUE!</v>
      </c>
      <c r="J277" s="66"/>
      <c r="K277" s="67"/>
      <c r="L277" s="67"/>
    </row>
    <row r="278" spans="1:12" s="6" customFormat="1">
      <c r="A278" s="59" t="s">
        <v>560</v>
      </c>
      <c r="B278" s="17" t="s">
        <v>561</v>
      </c>
      <c r="C278" s="10" t="e">
        <f>SUMIF('[2]AGGREGATION to PREAGG_Migration'!A:A,A278,'[2]AGGREGATION to PREAGG_Migration'!D:D)+SUMIF('[2]SR12E&amp;SR7_Card Expansion'!A:A,A278,'[2]SR12E&amp;SR7_Card Expansion'!D:D)+SUMIF('[2]IXR Card Expansion'!A:A,A278,'[2]IXR Card Expansion'!D:D)+SUMIF([2]PREAGG_v2_SR7B!A:A,A278,[2]PREAGG_v2_SR7B!D:D)+SUMIF([2]PREAGG_IXR_R6v2!A:A,A278,[2]PREAGG_IXR_R6v2!D:D)+SUMIF([2]CSG_V1!A:A,A278,[2]CSG_V1!D:D)+SUMIF([2]ESA!A:A,A278,[2]ESA!D:D)+SUMIF([2]Accessories!A:A,A278,[2]Accessories!D:D)</f>
        <v>#VALUE!</v>
      </c>
      <c r="D278" s="9"/>
      <c r="E278" s="59" t="s">
        <v>560</v>
      </c>
      <c r="F278" s="17" t="s">
        <v>561</v>
      </c>
      <c r="G278" s="9">
        <v>1</v>
      </c>
      <c r="H278" s="22"/>
      <c r="I278" s="6" t="e">
        <f t="shared" si="15"/>
        <v>#VALUE!</v>
      </c>
      <c r="J278" s="66"/>
      <c r="K278" s="67"/>
      <c r="L278" s="67"/>
    </row>
    <row r="279" spans="1:12" s="6" customFormat="1">
      <c r="A279" s="59" t="s">
        <v>562</v>
      </c>
      <c r="B279" s="17" t="s">
        <v>563</v>
      </c>
      <c r="C279" s="10" t="e">
        <f>SUMIF('[2]AGGREGATION to PREAGG_Migration'!A:A,A279,'[2]AGGREGATION to PREAGG_Migration'!D:D)+SUMIF('[2]SR12E&amp;SR7_Card Expansion'!A:A,A279,'[2]SR12E&amp;SR7_Card Expansion'!D:D)+SUMIF('[2]IXR Card Expansion'!A:A,A279,'[2]IXR Card Expansion'!D:D)+SUMIF([2]PREAGG_v2_SR7B!A:A,A279,[2]PREAGG_v2_SR7B!D:D)+SUMIF([2]PREAGG_IXR_R6v2!A:A,A279,[2]PREAGG_IXR_R6v2!D:D)+SUMIF([2]CSG_V1!A:A,A279,[2]CSG_V1!D:D)+SUMIF([2]ESA!A:A,A279,[2]ESA!D:D)+SUMIF([2]Accessories!A:A,A279,[2]Accessories!D:D)</f>
        <v>#VALUE!</v>
      </c>
      <c r="D279" s="9"/>
      <c r="E279" s="59" t="s">
        <v>562</v>
      </c>
      <c r="F279" s="17" t="s">
        <v>563</v>
      </c>
      <c r="G279" s="73">
        <v>1</v>
      </c>
      <c r="H279" s="22"/>
      <c r="I279" s="6" t="e">
        <f t="shared" si="15"/>
        <v>#VALUE!</v>
      </c>
      <c r="J279" s="66"/>
      <c r="K279" s="67"/>
      <c r="L279" s="67"/>
    </row>
    <row r="280" spans="1:12" s="6" customFormat="1">
      <c r="A280" s="59" t="s">
        <v>564</v>
      </c>
      <c r="B280" s="17" t="s">
        <v>565</v>
      </c>
      <c r="C280" s="10" t="e">
        <f>SUMIF('[2]AGGREGATION to PREAGG_Migration'!A:A,A280,'[2]AGGREGATION to PREAGG_Migration'!D:D)+SUMIF('[2]SR12E&amp;SR7_Card Expansion'!A:A,A280,'[2]SR12E&amp;SR7_Card Expansion'!D:D)+SUMIF('[2]IXR Card Expansion'!A:A,A280,'[2]IXR Card Expansion'!D:D)+SUMIF([2]PREAGG_v2_SR7B!A:A,A280,[2]PREAGG_v2_SR7B!D:D)+SUMIF([2]PREAGG_IXR_R6v2!A:A,A280,[2]PREAGG_IXR_R6v2!D:D)+SUMIF([2]CSG_V1!A:A,A280,[2]CSG_V1!D:D)+SUMIF([2]ESA!A:A,A280,[2]ESA!D:D)+SUMIF([2]Accessories!A:A,A280,[2]Accessories!D:D)</f>
        <v>#VALUE!</v>
      </c>
      <c r="D280" s="9"/>
      <c r="E280" s="59" t="s">
        <v>564</v>
      </c>
      <c r="F280" s="17" t="s">
        <v>565</v>
      </c>
      <c r="G280" s="9">
        <v>1</v>
      </c>
      <c r="H280" s="22"/>
      <c r="I280" s="6" t="e">
        <f t="shared" si="15"/>
        <v>#VALUE!</v>
      </c>
      <c r="J280" s="66"/>
      <c r="K280" s="67"/>
      <c r="L280" s="67"/>
    </row>
    <row r="281" spans="1:12" s="6" customFormat="1">
      <c r="A281" s="59" t="s">
        <v>566</v>
      </c>
      <c r="B281" s="17" t="s">
        <v>567</v>
      </c>
      <c r="C281" s="10" t="e">
        <f>SUMIF('[2]AGGREGATION to PREAGG_Migration'!A:A,A281,'[2]AGGREGATION to PREAGG_Migration'!D:D)+SUMIF('[2]SR12E&amp;SR7_Card Expansion'!A:A,A281,'[2]SR12E&amp;SR7_Card Expansion'!D:D)+SUMIF('[2]IXR Card Expansion'!A:A,A281,'[2]IXR Card Expansion'!D:D)+SUMIF([2]PREAGG_v2_SR7B!A:A,A281,[2]PREAGG_v2_SR7B!D:D)+SUMIF([2]PREAGG_IXR_R6v2!A:A,A281,[2]PREAGG_IXR_R6v2!D:D)+SUMIF([2]CSG_V1!A:A,A281,[2]CSG_V1!D:D)+SUMIF([2]ESA!A:A,A281,[2]ESA!D:D)+SUMIF([2]Accessories!A:A,A281,[2]Accessories!D:D)</f>
        <v>#VALUE!</v>
      </c>
      <c r="D281" s="9"/>
      <c r="E281" s="59" t="s">
        <v>566</v>
      </c>
      <c r="F281" s="17" t="s">
        <v>567</v>
      </c>
      <c r="G281" s="73">
        <v>1</v>
      </c>
      <c r="H281" s="22"/>
      <c r="I281" s="6" t="e">
        <f t="shared" si="15"/>
        <v>#VALUE!</v>
      </c>
      <c r="J281" s="66"/>
      <c r="K281" s="67"/>
      <c r="L281" s="67"/>
    </row>
    <row r="282" spans="1:12" s="6" customFormat="1">
      <c r="A282" s="59" t="s">
        <v>568</v>
      </c>
      <c r="B282" s="17" t="s">
        <v>569</v>
      </c>
      <c r="C282" s="10" t="e">
        <f>SUMIF('[2]AGGREGATION to PREAGG_Migration'!A:A,A282,'[2]AGGREGATION to PREAGG_Migration'!D:D)+SUMIF('[2]SR12E&amp;SR7_Card Expansion'!A:A,A282,'[2]SR12E&amp;SR7_Card Expansion'!D:D)+SUMIF('[2]IXR Card Expansion'!A:A,A282,'[2]IXR Card Expansion'!D:D)+SUMIF([2]PREAGG_v2_SR7B!A:A,A282,[2]PREAGG_v2_SR7B!D:D)+SUMIF([2]PREAGG_IXR_R6v2!A:A,A282,[2]PREAGG_IXR_R6v2!D:D)+SUMIF([2]CSG_V1!A:A,A282,[2]CSG_V1!D:D)+SUMIF([2]ESA!A:A,A282,[2]ESA!D:D)+SUMIF([2]Accessories!A:A,A282,[2]Accessories!D:D)</f>
        <v>#VALUE!</v>
      </c>
      <c r="D282" s="9"/>
      <c r="E282" s="59" t="s">
        <v>568</v>
      </c>
      <c r="F282" s="17" t="s">
        <v>569</v>
      </c>
      <c r="G282" s="9">
        <v>1</v>
      </c>
      <c r="H282" s="22"/>
      <c r="I282" s="6" t="e">
        <f t="shared" si="15"/>
        <v>#VALUE!</v>
      </c>
      <c r="J282" s="66"/>
      <c r="K282" s="67"/>
      <c r="L282" s="67"/>
    </row>
    <row r="283" spans="1:12" s="6" customFormat="1">
      <c r="A283" s="59" t="s">
        <v>570</v>
      </c>
      <c r="B283" s="17" t="s">
        <v>571</v>
      </c>
      <c r="C283" s="10" t="e">
        <f>SUMIF('[2]AGGREGATION to PREAGG_Migration'!A:A,A283,'[2]AGGREGATION to PREAGG_Migration'!D:D)+SUMIF('[2]SR12E&amp;SR7_Card Expansion'!A:A,A283,'[2]SR12E&amp;SR7_Card Expansion'!D:D)+SUMIF('[2]IXR Card Expansion'!A:A,A283,'[2]IXR Card Expansion'!D:D)+SUMIF([2]PREAGG_v2_SR7B!A:A,A283,[2]PREAGG_v2_SR7B!D:D)+SUMIF([2]PREAGG_IXR_R6v2!A:A,A283,[2]PREAGG_IXR_R6v2!D:D)+SUMIF([2]CSG_V1!A:A,A283,[2]CSG_V1!D:D)+SUMIF([2]ESA!A:A,A283,[2]ESA!D:D)+SUMIF([2]Accessories!A:A,A283,[2]Accessories!D:D)</f>
        <v>#VALUE!</v>
      </c>
      <c r="D283" s="9"/>
      <c r="E283" s="59" t="s">
        <v>570</v>
      </c>
      <c r="F283" s="17" t="s">
        <v>571</v>
      </c>
      <c r="G283" s="73">
        <v>1</v>
      </c>
      <c r="H283" s="22"/>
      <c r="I283" s="6" t="e">
        <f t="shared" si="15"/>
        <v>#VALUE!</v>
      </c>
      <c r="J283" s="66"/>
      <c r="K283" s="67"/>
      <c r="L283" s="67"/>
    </row>
    <row r="284" spans="1:12" s="6" customFormat="1">
      <c r="A284" s="1" t="s">
        <v>572</v>
      </c>
      <c r="B284" s="28" t="s">
        <v>573</v>
      </c>
      <c r="C284" s="10" t="e">
        <f>SUMIF('[2]AGGREGATION to PREAGG_Migration'!A:A,A284,'[2]AGGREGATION to PREAGG_Migration'!D:D)+SUMIF('[2]SR12E&amp;SR7_Card Expansion'!A:A,A284,'[2]SR12E&amp;SR7_Card Expansion'!D:D)+SUMIF('[2]IXR Card Expansion'!A:A,A284,'[2]IXR Card Expansion'!D:D)+SUMIF([2]PREAGG_v2_SR7B!A:A,A284,[2]PREAGG_v2_SR7B!D:D)+SUMIF([2]PREAGG_IXR_R6v2!A:A,A284,[2]PREAGG_IXR_R6v2!D:D)+SUMIF([2]CSG_V1!A:A,A284,[2]CSG_V1!D:D)+SUMIF([2]ESA!A:A,A284,[2]ESA!D:D)+SUMIF([2]Accessories!A:A,A284,[2]Accessories!D:D)</f>
        <v>#VALUE!</v>
      </c>
      <c r="D284" s="9"/>
      <c r="E284" s="39" t="s">
        <v>572</v>
      </c>
      <c r="F284" s="14" t="s">
        <v>573</v>
      </c>
      <c r="G284" s="73">
        <v>1</v>
      </c>
      <c r="H284" s="22"/>
      <c r="I284" s="6" t="e">
        <f t="shared" si="15"/>
        <v>#VALUE!</v>
      </c>
      <c r="J284" s="66"/>
      <c r="K284" s="67"/>
      <c r="L284" s="67"/>
    </row>
    <row r="285" spans="1:12" s="6" customFormat="1">
      <c r="A285" s="64" t="s">
        <v>574</v>
      </c>
      <c r="B285" s="17" t="s">
        <v>575</v>
      </c>
      <c r="C285" s="10" t="e">
        <f>SUMIF('[2]AGGREGATION to PREAGG_Migration'!A:A,A285,'[2]AGGREGATION to PREAGG_Migration'!D:D)+SUMIF('[2]SR12E&amp;SR7_Card Expansion'!A:A,A285,'[2]SR12E&amp;SR7_Card Expansion'!D:D)+SUMIF('[2]IXR Card Expansion'!A:A,A285,'[2]IXR Card Expansion'!D:D)+SUMIF([2]PREAGG_v2_SR7B!A:A,A285,[2]PREAGG_v2_SR7B!D:D)+SUMIF([2]PREAGG_IXR_R6v2!A:A,A285,[2]PREAGG_IXR_R6v2!D:D)+SUMIF([2]CSG_V1!A:A,A285,[2]CSG_V1!D:D)+SUMIF([2]ESA!A:A,A285,[2]ESA!D:D)+SUMIF([2]Accessories!A:A,A285,[2]Accessories!D:D)</f>
        <v>#VALUE!</v>
      </c>
      <c r="D285" s="9"/>
      <c r="E285" s="64" t="s">
        <v>574</v>
      </c>
      <c r="F285" s="17" t="s">
        <v>575</v>
      </c>
      <c r="G285" s="73">
        <v>1</v>
      </c>
      <c r="H285" s="22"/>
      <c r="I285" s="6" t="e">
        <f t="shared" si="15"/>
        <v>#VALUE!</v>
      </c>
      <c r="J285" s="66"/>
      <c r="K285" s="67"/>
      <c r="L285" s="67"/>
    </row>
    <row r="286" spans="1:12" s="6" customFormat="1">
      <c r="A286" s="65" t="s">
        <v>576</v>
      </c>
      <c r="B286" s="17" t="s">
        <v>577</v>
      </c>
      <c r="C286" s="10" t="e">
        <f>SUMIF('[2]AGGREGATION to PREAGG_Migration'!A:A,A286,'[2]AGGREGATION to PREAGG_Migration'!D:D)+SUMIF('[2]SR12E&amp;SR7_Card Expansion'!A:A,A286,'[2]SR12E&amp;SR7_Card Expansion'!D:D)+SUMIF('[2]IXR Card Expansion'!A:A,A286,'[2]IXR Card Expansion'!D:D)+SUMIF([2]PREAGG_v2_SR7B!A:A,A286,[2]PREAGG_v2_SR7B!D:D)+SUMIF([2]PREAGG_IXR_R6v2!A:A,A286,[2]PREAGG_IXR_R6v2!D:D)+SUMIF([2]CSG_V1!A:A,A286,[2]CSG_V1!D:D)+SUMIF([2]ESA!A:A,A286,[2]ESA!D:D)+SUMIF([2]Accessories!A:A,A286,[2]Accessories!D:D)</f>
        <v>#VALUE!</v>
      </c>
      <c r="D286" s="9"/>
      <c r="E286" s="65" t="s">
        <v>576</v>
      </c>
      <c r="F286" s="17" t="s">
        <v>577</v>
      </c>
      <c r="G286" s="73">
        <v>1</v>
      </c>
      <c r="H286" s="22"/>
      <c r="I286" s="6" t="e">
        <f t="shared" si="15"/>
        <v>#VALUE!</v>
      </c>
      <c r="J286" s="66"/>
      <c r="K286" s="67"/>
      <c r="L286" s="67"/>
    </row>
    <row r="287" spans="1:12" s="6" customFormat="1">
      <c r="A287" s="65" t="s">
        <v>578</v>
      </c>
      <c r="B287" s="17" t="s">
        <v>579</v>
      </c>
      <c r="C287" s="10" t="e">
        <f>SUMIF('[2]AGGREGATION to PREAGG_Migration'!A:A,A287,'[2]AGGREGATION to PREAGG_Migration'!D:D)+SUMIF('[2]SR12E&amp;SR7_Card Expansion'!A:A,A287,'[2]SR12E&amp;SR7_Card Expansion'!D:D)+SUMIF('[2]IXR Card Expansion'!A:A,A287,'[2]IXR Card Expansion'!D:D)+SUMIF([2]PREAGG_v2_SR7B!A:A,A287,[2]PREAGG_v2_SR7B!D:D)+SUMIF([2]PREAGG_IXR_R6v2!A:A,A287,[2]PREAGG_IXR_R6v2!D:D)+SUMIF([2]CSG_V1!A:A,A287,[2]CSG_V1!D:D)+SUMIF([2]ESA!A:A,A287,[2]ESA!D:D)+SUMIF([2]Accessories!A:A,A287,[2]Accessories!D:D)</f>
        <v>#VALUE!</v>
      </c>
      <c r="D287" s="9"/>
      <c r="E287" s="65" t="s">
        <v>578</v>
      </c>
      <c r="F287" s="17" t="s">
        <v>579</v>
      </c>
      <c r="G287" s="73">
        <v>1</v>
      </c>
      <c r="H287" s="22"/>
      <c r="I287" s="6" t="e">
        <f t="shared" si="15"/>
        <v>#VALUE!</v>
      </c>
      <c r="J287" s="66"/>
      <c r="K287" s="67"/>
      <c r="L287" s="67"/>
    </row>
    <row r="288" spans="1:12" s="6" customFormat="1">
      <c r="A288" s="65" t="s">
        <v>580</v>
      </c>
      <c r="B288" s="17" t="s">
        <v>581</v>
      </c>
      <c r="C288" s="10" t="e">
        <f>SUMIF('[2]AGGREGATION to PREAGG_Migration'!A:A,A288,'[2]AGGREGATION to PREAGG_Migration'!D:D)+SUMIF('[2]SR12E&amp;SR7_Card Expansion'!A:A,A288,'[2]SR12E&amp;SR7_Card Expansion'!D:D)+SUMIF('[2]IXR Card Expansion'!A:A,A288,'[2]IXR Card Expansion'!D:D)+SUMIF([2]PREAGG_v2_SR7B!A:A,A288,[2]PREAGG_v2_SR7B!D:D)+SUMIF([2]PREAGG_IXR_R6v2!A:A,A288,[2]PREAGG_IXR_R6v2!D:D)+SUMIF([2]CSG_V1!A:A,A288,[2]CSG_V1!D:D)+SUMIF([2]ESA!A:A,A288,[2]ESA!D:D)+SUMIF([2]Accessories!A:A,A288,[2]Accessories!D:D)</f>
        <v>#VALUE!</v>
      </c>
      <c r="D288" s="9"/>
      <c r="E288" s="65" t="s">
        <v>580</v>
      </c>
      <c r="F288" s="17" t="s">
        <v>581</v>
      </c>
      <c r="G288" s="73">
        <v>1</v>
      </c>
      <c r="H288" s="22"/>
      <c r="I288" s="6" t="e">
        <f t="shared" si="15"/>
        <v>#VALUE!</v>
      </c>
      <c r="J288" s="66"/>
      <c r="K288" s="67"/>
      <c r="L288" s="67"/>
    </row>
    <row r="289" spans="1:12" s="6" customFormat="1" ht="60">
      <c r="A289" s="65" t="s">
        <v>582</v>
      </c>
      <c r="B289" s="14" t="s">
        <v>583</v>
      </c>
      <c r="C289" s="10" t="e">
        <f>SUMIF('[2]AGGREGATION to PREAGG_Migration'!A:A,A289,'[2]AGGREGATION to PREAGG_Migration'!D:D)+SUMIF('[2]SR12E&amp;SR7_Card Expansion'!A:A,A289,'[2]SR12E&amp;SR7_Card Expansion'!D:D)+SUMIF('[2]IXR Card Expansion'!A:A,A289,'[2]IXR Card Expansion'!D:D)+SUMIF([2]PREAGG_v2_SR7B!A:A,A289,[2]PREAGG_v2_SR7B!D:D)+SUMIF([2]PREAGG_IXR_R6v2!A:A,A289,[2]PREAGG_IXR_R6v2!D:D)+SUMIF([2]CSG_V1!A:A,A289,[2]CSG_V1!D:D)+SUMIF([2]ESA!A:A,A289,[2]ESA!D:D)+SUMIF([2]Accessories!A:A,A289,[2]Accessories!D:D)</f>
        <v>#VALUE!</v>
      </c>
      <c r="D289" s="9"/>
      <c r="E289" s="65" t="s">
        <v>582</v>
      </c>
      <c r="F289" s="17" t="s">
        <v>583</v>
      </c>
      <c r="G289" s="73">
        <v>1</v>
      </c>
      <c r="H289" s="22"/>
      <c r="I289" s="6" t="e">
        <f t="shared" si="15"/>
        <v>#VALUE!</v>
      </c>
      <c r="J289" s="66"/>
      <c r="K289" s="67"/>
      <c r="L289" s="67"/>
    </row>
    <row r="290" spans="1:12" s="6" customFormat="1" ht="75">
      <c r="A290" s="65" t="s">
        <v>584</v>
      </c>
      <c r="B290" s="14" t="s">
        <v>585</v>
      </c>
      <c r="C290" s="10" t="e">
        <f>SUMIF('[2]AGGREGATION to PREAGG_Migration'!A:A,A290,'[2]AGGREGATION to PREAGG_Migration'!D:D)+SUMIF('[2]SR12E&amp;SR7_Card Expansion'!A:A,A290,'[2]SR12E&amp;SR7_Card Expansion'!D:D)+SUMIF('[2]IXR Card Expansion'!A:A,A290,'[2]IXR Card Expansion'!D:D)+SUMIF([2]PREAGG_v2_SR7B!A:A,A290,[2]PREAGG_v2_SR7B!D:D)+SUMIF([2]PREAGG_IXR_R6v2!A:A,A290,[2]PREAGG_IXR_R6v2!D:D)+SUMIF([2]CSG_V1!A:A,A290,[2]CSG_V1!D:D)+SUMIF([2]ESA!A:A,A290,[2]ESA!D:D)+SUMIF([2]Accessories!A:A,A290,[2]Accessories!D:D)</f>
        <v>#VALUE!</v>
      </c>
      <c r="D290" s="9"/>
      <c r="E290" s="65" t="s">
        <v>584</v>
      </c>
      <c r="F290" s="17" t="s">
        <v>585</v>
      </c>
      <c r="G290" s="73">
        <v>1</v>
      </c>
      <c r="H290" s="22"/>
      <c r="I290" s="6" t="e">
        <f t="shared" si="15"/>
        <v>#VALUE!</v>
      </c>
      <c r="J290" s="66"/>
      <c r="K290" s="67"/>
      <c r="L290" s="67"/>
    </row>
    <row r="291" spans="1:12" s="6" customFormat="1" ht="30">
      <c r="A291" s="3" t="s">
        <v>586</v>
      </c>
      <c r="B291" s="29" t="s">
        <v>587</v>
      </c>
      <c r="C291" s="10" t="e">
        <f>SUMIF('[2]AGGREGATION to PREAGG_Migration'!A:A,A291,'[2]AGGREGATION to PREAGG_Migration'!D:D)+SUMIF('[2]SR12E&amp;SR7_Card Expansion'!A:A,A291,'[2]SR12E&amp;SR7_Card Expansion'!D:D)+SUMIF('[2]IXR Card Expansion'!A:A,A291,'[2]IXR Card Expansion'!D:D)+SUMIF([2]PREAGG_v2_SR7B!A:A,A291,[2]PREAGG_v2_SR7B!D:D)+SUMIF([2]PREAGG_IXR_R6v2!A:A,A291,[2]PREAGG_IXR_R6v2!D:D)+SUMIF([2]CSG_V1!A:A,A291,[2]CSG_V1!D:D)+SUMIF([2]ESA!A:A,A291,[2]ESA!D:D)+SUMIF([2]Accessories!A:A,A291,[2]Accessories!D:D)</f>
        <v>#VALUE!</v>
      </c>
      <c r="D291" s="9"/>
      <c r="E291" s="39" t="s">
        <v>586</v>
      </c>
      <c r="F291" s="14" t="s">
        <v>587</v>
      </c>
      <c r="G291" s="73">
        <v>1</v>
      </c>
      <c r="H291" s="22"/>
      <c r="I291" s="6" t="e">
        <f t="shared" si="15"/>
        <v>#VALUE!</v>
      </c>
      <c r="J291" s="66"/>
      <c r="K291" s="67"/>
      <c r="L291" s="67"/>
    </row>
    <row r="292" spans="1:12" s="6" customFormat="1" ht="30">
      <c r="A292" s="3" t="s">
        <v>588</v>
      </c>
      <c r="B292" s="29" t="s">
        <v>589</v>
      </c>
      <c r="C292" s="10" t="e">
        <f>SUMIF('[2]AGGREGATION to PREAGG_Migration'!A:A,A292,'[2]AGGREGATION to PREAGG_Migration'!D:D)+SUMIF('[2]SR12E&amp;SR7_Card Expansion'!A:A,A292,'[2]SR12E&amp;SR7_Card Expansion'!D:D)+SUMIF('[2]IXR Card Expansion'!A:A,A292,'[2]IXR Card Expansion'!D:D)+SUMIF([2]PREAGG_v2_SR7B!A:A,A292,[2]PREAGG_v2_SR7B!D:D)+SUMIF([2]PREAGG_IXR_R6v2!A:A,A292,[2]PREAGG_IXR_R6v2!D:D)+SUMIF([2]CSG_V1!A:A,A292,[2]CSG_V1!D:D)+SUMIF([2]ESA!A:A,A292,[2]ESA!D:D)+SUMIF([2]Accessories!A:A,A292,[2]Accessories!D:D)</f>
        <v>#VALUE!</v>
      </c>
      <c r="D292" s="9"/>
      <c r="E292" s="39" t="s">
        <v>588</v>
      </c>
      <c r="F292" s="14" t="s">
        <v>589</v>
      </c>
      <c r="G292" s="73">
        <v>1</v>
      </c>
      <c r="H292" s="22"/>
      <c r="I292" s="6" t="e">
        <f t="shared" si="15"/>
        <v>#VALUE!</v>
      </c>
      <c r="J292" s="66"/>
      <c r="K292" s="67"/>
      <c r="L292" s="67"/>
    </row>
    <row r="293" spans="1:12" s="6" customFormat="1" ht="30">
      <c r="A293" s="3" t="s">
        <v>590</v>
      </c>
      <c r="B293" s="29" t="s">
        <v>591</v>
      </c>
      <c r="C293" s="10" t="e">
        <f>SUMIF('[2]AGGREGATION to PREAGG_Migration'!A:A,A293,'[2]AGGREGATION to PREAGG_Migration'!D:D)+SUMIF('[2]SR12E&amp;SR7_Card Expansion'!A:A,A293,'[2]SR12E&amp;SR7_Card Expansion'!D:D)+SUMIF('[2]IXR Card Expansion'!A:A,A293,'[2]IXR Card Expansion'!D:D)+SUMIF([2]PREAGG_v2_SR7B!A:A,A293,[2]PREAGG_v2_SR7B!D:D)+SUMIF([2]PREAGG_IXR_R6v2!A:A,A293,[2]PREAGG_IXR_R6v2!D:D)+SUMIF([2]CSG_V1!A:A,A293,[2]CSG_V1!D:D)+SUMIF([2]ESA!A:A,A293,[2]ESA!D:D)+SUMIF([2]Accessories!A:A,A293,[2]Accessories!D:D)</f>
        <v>#VALUE!</v>
      </c>
      <c r="D293" s="9"/>
      <c r="E293" s="39" t="s">
        <v>590</v>
      </c>
      <c r="F293" s="14" t="s">
        <v>591</v>
      </c>
      <c r="G293" s="73">
        <v>1</v>
      </c>
      <c r="H293" s="22"/>
      <c r="I293" s="6" t="e">
        <f t="shared" si="15"/>
        <v>#VALUE!</v>
      </c>
      <c r="J293" s="66"/>
      <c r="K293" s="67"/>
      <c r="L293" s="67"/>
    </row>
    <row r="294" spans="1:12" s="6" customFormat="1" ht="30">
      <c r="A294" s="3" t="s">
        <v>592</v>
      </c>
      <c r="B294" s="29" t="s">
        <v>593</v>
      </c>
      <c r="C294" s="10" t="e">
        <f>SUMIF('[2]AGGREGATION to PREAGG_Migration'!A:A,A294,'[2]AGGREGATION to PREAGG_Migration'!D:D)+SUMIF('[2]SR12E&amp;SR7_Card Expansion'!A:A,A294,'[2]SR12E&amp;SR7_Card Expansion'!D:D)+SUMIF('[2]IXR Card Expansion'!A:A,A294,'[2]IXR Card Expansion'!D:D)+SUMIF([2]PREAGG_v2_SR7B!A:A,A294,[2]PREAGG_v2_SR7B!D:D)+SUMIF([2]PREAGG_IXR_R6v2!A:A,A294,[2]PREAGG_IXR_R6v2!D:D)+SUMIF([2]CSG_V1!A:A,A294,[2]CSG_V1!D:D)+SUMIF([2]ESA!A:A,A294,[2]ESA!D:D)+SUMIF([2]Accessories!A:A,A294,[2]Accessories!D:D)</f>
        <v>#VALUE!</v>
      </c>
      <c r="D294" s="9"/>
      <c r="E294" s="39" t="s">
        <v>592</v>
      </c>
      <c r="F294" s="14" t="s">
        <v>593</v>
      </c>
      <c r="G294" s="73">
        <v>1</v>
      </c>
      <c r="H294" s="22"/>
      <c r="I294" s="6" t="e">
        <f t="shared" si="15"/>
        <v>#VALUE!</v>
      </c>
      <c r="J294" s="66"/>
      <c r="K294" s="67"/>
      <c r="L294" s="67"/>
    </row>
    <row r="295" spans="1:12" s="6" customFormat="1" ht="30">
      <c r="A295" s="3" t="s">
        <v>594</v>
      </c>
      <c r="B295" s="29" t="s">
        <v>595</v>
      </c>
      <c r="C295" s="10" t="e">
        <f>SUMIF('[2]AGGREGATION to PREAGG_Migration'!A:A,A295,'[2]AGGREGATION to PREAGG_Migration'!D:D)+SUMIF('[2]SR12E&amp;SR7_Card Expansion'!A:A,A295,'[2]SR12E&amp;SR7_Card Expansion'!D:D)+SUMIF('[2]IXR Card Expansion'!A:A,A295,'[2]IXR Card Expansion'!D:D)+SUMIF([2]PREAGG_v2_SR7B!A:A,A295,[2]PREAGG_v2_SR7B!D:D)+SUMIF([2]PREAGG_IXR_R6v2!A:A,A295,[2]PREAGG_IXR_R6v2!D:D)+SUMIF([2]CSG_V1!A:A,A295,[2]CSG_V1!D:D)+SUMIF([2]ESA!A:A,A295,[2]ESA!D:D)+SUMIF([2]Accessories!A:A,A295,[2]Accessories!D:D)</f>
        <v>#VALUE!</v>
      </c>
      <c r="D295" s="9"/>
      <c r="E295" s="39" t="s">
        <v>594</v>
      </c>
      <c r="F295" s="14" t="s">
        <v>595</v>
      </c>
      <c r="G295" s="73">
        <v>1</v>
      </c>
      <c r="H295" s="22"/>
      <c r="I295" s="6" t="e">
        <f t="shared" si="15"/>
        <v>#VALUE!</v>
      </c>
      <c r="J295" s="66"/>
      <c r="K295" s="67"/>
      <c r="L295" s="67"/>
    </row>
    <row r="296" spans="1:12" s="6" customFormat="1" ht="30">
      <c r="A296" s="3" t="s">
        <v>596</v>
      </c>
      <c r="B296" s="29" t="s">
        <v>597</v>
      </c>
      <c r="C296" s="10" t="e">
        <f>SUMIF('[2]AGGREGATION to PREAGG_Migration'!A:A,A296,'[2]AGGREGATION to PREAGG_Migration'!D:D)+SUMIF('[2]SR12E&amp;SR7_Card Expansion'!A:A,A296,'[2]SR12E&amp;SR7_Card Expansion'!D:D)+SUMIF('[2]IXR Card Expansion'!A:A,A296,'[2]IXR Card Expansion'!D:D)+SUMIF([2]PREAGG_v2_SR7B!A:A,A296,[2]PREAGG_v2_SR7B!D:D)+SUMIF([2]PREAGG_IXR_R6v2!A:A,A296,[2]PREAGG_IXR_R6v2!D:D)+SUMIF([2]CSG_V1!A:A,A296,[2]CSG_V1!D:D)+SUMIF([2]ESA!A:A,A296,[2]ESA!D:D)+SUMIF([2]Accessories!A:A,A296,[2]Accessories!D:D)</f>
        <v>#VALUE!</v>
      </c>
      <c r="D296" s="9"/>
      <c r="E296" s="39" t="s">
        <v>596</v>
      </c>
      <c r="F296" s="14" t="s">
        <v>597</v>
      </c>
      <c r="G296" s="73">
        <v>1</v>
      </c>
      <c r="H296" s="22"/>
      <c r="I296" s="6" t="e">
        <f t="shared" si="15"/>
        <v>#VALUE!</v>
      </c>
      <c r="J296" s="66"/>
      <c r="K296" s="67"/>
      <c r="L296" s="67"/>
    </row>
    <row r="297" spans="1:12" s="6" customFormat="1" ht="30">
      <c r="A297" s="3" t="s">
        <v>598</v>
      </c>
      <c r="B297" s="29" t="s">
        <v>599</v>
      </c>
      <c r="C297" s="10" t="e">
        <f>SUMIF('[2]AGGREGATION to PREAGG_Migration'!A:A,A297,'[2]AGGREGATION to PREAGG_Migration'!D:D)+SUMIF('[2]SR12E&amp;SR7_Card Expansion'!A:A,A297,'[2]SR12E&amp;SR7_Card Expansion'!D:D)+SUMIF('[2]IXR Card Expansion'!A:A,A297,'[2]IXR Card Expansion'!D:D)+SUMIF([2]PREAGG_v2_SR7B!A:A,A297,[2]PREAGG_v2_SR7B!D:D)+SUMIF([2]PREAGG_IXR_R6v2!A:A,A297,[2]PREAGG_IXR_R6v2!D:D)+SUMIF([2]CSG_V1!A:A,A297,[2]CSG_V1!D:D)+SUMIF([2]ESA!A:A,A297,[2]ESA!D:D)+SUMIF([2]Accessories!A:A,A297,[2]Accessories!D:D)</f>
        <v>#VALUE!</v>
      </c>
      <c r="D297" s="9"/>
      <c r="E297" s="39" t="s">
        <v>598</v>
      </c>
      <c r="F297" s="14" t="s">
        <v>599</v>
      </c>
      <c r="G297" s="73">
        <v>1</v>
      </c>
      <c r="H297" s="22"/>
      <c r="I297" s="6" t="e">
        <f t="shared" si="15"/>
        <v>#VALUE!</v>
      </c>
      <c r="J297" s="66"/>
      <c r="K297" s="67"/>
      <c r="L297" s="67"/>
    </row>
    <row r="298" spans="1:12" s="6" customFormat="1">
      <c r="A298" s="3" t="s">
        <v>600</v>
      </c>
      <c r="B298" s="29" t="s">
        <v>601</v>
      </c>
      <c r="C298" s="10" t="e">
        <f>SUMIF('[2]AGGREGATION to PREAGG_Migration'!A:A,A298,'[2]AGGREGATION to PREAGG_Migration'!D:D)+SUMIF('[2]SR12E&amp;SR7_Card Expansion'!A:A,A298,'[2]SR12E&amp;SR7_Card Expansion'!D:D)+SUMIF('[2]IXR Card Expansion'!A:A,A298,'[2]IXR Card Expansion'!D:D)+SUMIF([2]PREAGG_v2_SR7B!A:A,A298,[2]PREAGG_v2_SR7B!D:D)+SUMIF([2]PREAGG_IXR_R6v2!A:A,A298,[2]PREAGG_IXR_R6v2!D:D)+SUMIF([2]CSG_V1!A:A,A298,[2]CSG_V1!D:D)+SUMIF([2]ESA!A:A,A298,[2]ESA!D:D)+SUMIF([2]Accessories!A:A,A298,[2]Accessories!D:D)</f>
        <v>#VALUE!</v>
      </c>
      <c r="D298" s="9"/>
      <c r="E298" s="39" t="s">
        <v>600</v>
      </c>
      <c r="F298" s="14" t="s">
        <v>601</v>
      </c>
      <c r="G298" s="73">
        <v>1</v>
      </c>
      <c r="H298" s="22"/>
      <c r="I298" s="6" t="e">
        <f t="shared" si="15"/>
        <v>#VALUE!</v>
      </c>
      <c r="J298" s="66"/>
      <c r="K298" s="67"/>
      <c r="L298" s="67"/>
    </row>
    <row r="299" spans="1:12" s="6" customFormat="1" ht="30">
      <c r="A299" s="3" t="s">
        <v>602</v>
      </c>
      <c r="B299" s="29" t="s">
        <v>603</v>
      </c>
      <c r="C299" s="10" t="e">
        <f>SUMIF('[2]AGGREGATION to PREAGG_Migration'!A:A,A299,'[2]AGGREGATION to PREAGG_Migration'!D:D)+SUMIF('[2]SR12E&amp;SR7_Card Expansion'!A:A,A299,'[2]SR12E&amp;SR7_Card Expansion'!D:D)+SUMIF('[2]IXR Card Expansion'!A:A,A299,'[2]IXR Card Expansion'!D:D)+SUMIF([2]PREAGG_v2_SR7B!A:A,A299,[2]PREAGG_v2_SR7B!D:D)+SUMIF([2]PREAGG_IXR_R6v2!A:A,A299,[2]PREAGG_IXR_R6v2!D:D)+SUMIF([2]CSG_V1!A:A,A299,[2]CSG_V1!D:D)+SUMIF([2]ESA!A:A,A299,[2]ESA!D:D)+SUMIF([2]Accessories!A:A,A299,[2]Accessories!D:D)</f>
        <v>#VALUE!</v>
      </c>
      <c r="D299" s="9"/>
      <c r="E299" s="39" t="s">
        <v>602</v>
      </c>
      <c r="F299" s="14" t="s">
        <v>603</v>
      </c>
      <c r="G299" s="73">
        <v>1</v>
      </c>
      <c r="H299" s="22"/>
      <c r="I299" s="6" t="e">
        <f t="shared" si="15"/>
        <v>#VALUE!</v>
      </c>
      <c r="J299" s="66"/>
      <c r="K299" s="67"/>
      <c r="L299" s="67"/>
    </row>
    <row r="300" spans="1:12" s="6" customFormat="1" ht="30">
      <c r="A300" s="3" t="s">
        <v>604</v>
      </c>
      <c r="B300" s="29" t="s">
        <v>605</v>
      </c>
      <c r="C300" s="10" t="e">
        <f>SUMIF('[2]AGGREGATION to PREAGG_Migration'!A:A,A300,'[2]AGGREGATION to PREAGG_Migration'!D:D)+SUMIF('[2]SR12E&amp;SR7_Card Expansion'!A:A,A300,'[2]SR12E&amp;SR7_Card Expansion'!D:D)+SUMIF('[2]IXR Card Expansion'!A:A,A300,'[2]IXR Card Expansion'!D:D)+SUMIF([2]PREAGG_v2_SR7B!A:A,A300,[2]PREAGG_v2_SR7B!D:D)+SUMIF([2]PREAGG_IXR_R6v2!A:A,A300,[2]PREAGG_IXR_R6v2!D:D)+SUMIF([2]CSG_V1!A:A,A300,[2]CSG_V1!D:D)+SUMIF([2]ESA!A:A,A300,[2]ESA!D:D)+SUMIF([2]Accessories!A:A,A300,[2]Accessories!D:D)</f>
        <v>#VALUE!</v>
      </c>
      <c r="D300" s="9"/>
      <c r="E300" s="39" t="s">
        <v>604</v>
      </c>
      <c r="F300" s="14" t="s">
        <v>605</v>
      </c>
      <c r="G300" s="73">
        <v>1</v>
      </c>
      <c r="H300" s="22"/>
      <c r="I300" s="6" t="e">
        <f t="shared" si="15"/>
        <v>#VALUE!</v>
      </c>
      <c r="J300" s="66"/>
      <c r="K300" s="67"/>
      <c r="L300" s="67"/>
    </row>
    <row r="301" spans="1:12" s="6" customFormat="1" ht="30">
      <c r="A301" s="3" t="s">
        <v>606</v>
      </c>
      <c r="B301" s="29" t="s">
        <v>607</v>
      </c>
      <c r="C301" s="10" t="e">
        <f>SUMIF('[2]AGGREGATION to PREAGG_Migration'!A:A,A301,'[2]AGGREGATION to PREAGG_Migration'!D:D)+SUMIF('[2]SR12E&amp;SR7_Card Expansion'!A:A,A301,'[2]SR12E&amp;SR7_Card Expansion'!D:D)+SUMIF('[2]IXR Card Expansion'!A:A,A301,'[2]IXR Card Expansion'!D:D)+SUMIF([2]PREAGG_v2_SR7B!A:A,A301,[2]PREAGG_v2_SR7B!D:D)+SUMIF([2]PREAGG_IXR_R6v2!A:A,A301,[2]PREAGG_IXR_R6v2!D:D)+SUMIF([2]CSG_V1!A:A,A301,[2]CSG_V1!D:D)+SUMIF([2]ESA!A:A,A301,[2]ESA!D:D)+SUMIF([2]Accessories!A:A,A301,[2]Accessories!D:D)</f>
        <v>#VALUE!</v>
      </c>
      <c r="D301" s="9"/>
      <c r="E301" s="39" t="s">
        <v>606</v>
      </c>
      <c r="F301" s="14" t="s">
        <v>607</v>
      </c>
      <c r="G301" s="73">
        <v>1</v>
      </c>
      <c r="H301" s="22"/>
      <c r="I301" s="6" t="e">
        <f t="shared" ref="I301:I345" si="16">C301*G301</f>
        <v>#VALUE!</v>
      </c>
      <c r="J301" s="66"/>
      <c r="K301" s="67"/>
      <c r="L301" s="67"/>
    </row>
    <row r="302" spans="1:12" s="6" customFormat="1">
      <c r="A302" s="3" t="s">
        <v>608</v>
      </c>
      <c r="B302" s="29" t="s">
        <v>608</v>
      </c>
      <c r="C302" s="10" t="e">
        <f>SUMIF('[2]AGGREGATION to PREAGG_Migration'!A:A,A302,'[2]AGGREGATION to PREAGG_Migration'!D:D)+SUMIF('[2]SR12E&amp;SR7_Card Expansion'!A:A,A302,'[2]SR12E&amp;SR7_Card Expansion'!D:D)+SUMIF('[2]IXR Card Expansion'!A:A,A302,'[2]IXR Card Expansion'!D:D)+SUMIF([2]PREAGG_v2_SR7B!A:A,A302,[2]PREAGG_v2_SR7B!D:D)+SUMIF([2]PREAGG_IXR_R6v2!A:A,A302,[2]PREAGG_IXR_R6v2!D:D)+SUMIF([2]CSG_V1!A:A,A302,[2]CSG_V1!D:D)+SUMIF([2]ESA!A:A,A302,[2]ESA!D:D)+SUMIF([2]Accessories!A:A,A302,[2]Accessories!D:D)</f>
        <v>#VALUE!</v>
      </c>
      <c r="D302" s="9"/>
      <c r="E302" s="39" t="s">
        <v>608</v>
      </c>
      <c r="F302" s="14" t="s">
        <v>608</v>
      </c>
      <c r="G302" s="73">
        <v>1</v>
      </c>
      <c r="H302" s="22"/>
      <c r="I302" s="6" t="e">
        <f t="shared" si="16"/>
        <v>#VALUE!</v>
      </c>
      <c r="J302" s="66"/>
      <c r="K302" s="67"/>
      <c r="L302" s="67"/>
    </row>
    <row r="303" spans="1:12">
      <c r="A303" s="3" t="s">
        <v>609</v>
      </c>
      <c r="B303" s="29" t="s">
        <v>609</v>
      </c>
      <c r="C303" s="10" t="e">
        <f>SUMIF('[2]AGGREGATION to PREAGG_Migration'!A:A,A303,'[2]AGGREGATION to PREAGG_Migration'!D:D)+SUMIF('[2]SR12E&amp;SR7_Card Expansion'!A:A,A303,'[2]SR12E&amp;SR7_Card Expansion'!D:D)+SUMIF('[2]IXR Card Expansion'!A:A,A303,'[2]IXR Card Expansion'!D:D)+SUMIF([2]PREAGG_v2_SR7B!A:A,A303,[2]PREAGG_v2_SR7B!D:D)+SUMIF([2]PREAGG_IXR_R6v2!A:A,A303,[2]PREAGG_IXR_R6v2!D:D)+SUMIF([2]CSG_V1!A:A,A303,[2]CSG_V1!D:D)+SUMIF([2]ESA!A:A,A303,[2]ESA!D:D)+SUMIF([2]Accessories!A:A,A303,[2]Accessories!D:D)</f>
        <v>#VALUE!</v>
      </c>
      <c r="D303" s="9"/>
      <c r="E303" s="39" t="s">
        <v>609</v>
      </c>
      <c r="F303" s="14" t="s">
        <v>609</v>
      </c>
      <c r="G303" s="73">
        <v>1</v>
      </c>
      <c r="H303" s="22"/>
      <c r="I303" s="6" t="e">
        <f t="shared" si="16"/>
        <v>#VALUE!</v>
      </c>
      <c r="J303" s="66"/>
      <c r="K303" s="67"/>
      <c r="L303" s="67"/>
    </row>
    <row r="304" spans="1:12" s="6" customFormat="1">
      <c r="A304" s="3" t="s">
        <v>610</v>
      </c>
      <c r="B304" s="29" t="s">
        <v>610</v>
      </c>
      <c r="C304" s="10" t="e">
        <f>SUMIF('[2]AGGREGATION to PREAGG_Migration'!A:A,A304,'[2]AGGREGATION to PREAGG_Migration'!D:D)+SUMIF('[2]SR12E&amp;SR7_Card Expansion'!A:A,A304,'[2]SR12E&amp;SR7_Card Expansion'!D:D)+SUMIF('[2]IXR Card Expansion'!A:A,A304,'[2]IXR Card Expansion'!D:D)+SUMIF([2]PREAGG_v2_SR7B!A:A,A304,[2]PREAGG_v2_SR7B!D:D)+SUMIF([2]PREAGG_IXR_R6v2!A:A,A304,[2]PREAGG_IXR_R6v2!D:D)+SUMIF([2]CSG_V1!A:A,A304,[2]CSG_V1!D:D)+SUMIF([2]ESA!A:A,A304,[2]ESA!D:D)+SUMIF([2]Accessories!A:A,A304,[2]Accessories!D:D)</f>
        <v>#VALUE!</v>
      </c>
      <c r="D304" s="9"/>
      <c r="E304" s="39" t="s">
        <v>610</v>
      </c>
      <c r="F304" s="14" t="s">
        <v>610</v>
      </c>
      <c r="G304" s="73">
        <v>1</v>
      </c>
      <c r="H304" s="22"/>
      <c r="I304" s="6" t="e">
        <f t="shared" si="16"/>
        <v>#VALUE!</v>
      </c>
      <c r="J304" s="66"/>
      <c r="K304" s="67"/>
      <c r="L304" s="67"/>
    </row>
    <row r="305" spans="1:12">
      <c r="A305" s="3" t="s">
        <v>611</v>
      </c>
      <c r="B305" s="29" t="s">
        <v>611</v>
      </c>
      <c r="C305" s="10" t="e">
        <f>SUMIF('[2]AGGREGATION to PREAGG_Migration'!A:A,A305,'[2]AGGREGATION to PREAGG_Migration'!D:D)+SUMIF('[2]SR12E&amp;SR7_Card Expansion'!A:A,A305,'[2]SR12E&amp;SR7_Card Expansion'!D:D)+SUMIF('[2]IXR Card Expansion'!A:A,A305,'[2]IXR Card Expansion'!D:D)+SUMIF([2]PREAGG_v2_SR7B!A:A,A305,[2]PREAGG_v2_SR7B!D:D)+SUMIF([2]PREAGG_IXR_R6v2!A:A,A305,[2]PREAGG_IXR_R6v2!D:D)+SUMIF([2]CSG_V1!A:A,A305,[2]CSG_V1!D:D)+SUMIF([2]ESA!A:A,A305,[2]ESA!D:D)+SUMIF([2]Accessories!A:A,A305,[2]Accessories!D:D)</f>
        <v>#VALUE!</v>
      </c>
      <c r="D305" s="9"/>
      <c r="E305" s="39" t="s">
        <v>611</v>
      </c>
      <c r="F305" s="14" t="s">
        <v>611</v>
      </c>
      <c r="G305" s="73">
        <v>1</v>
      </c>
      <c r="H305" s="22"/>
      <c r="I305" s="6" t="e">
        <f t="shared" si="16"/>
        <v>#VALUE!</v>
      </c>
      <c r="J305" s="66"/>
      <c r="K305" s="67"/>
      <c r="L305" s="67"/>
    </row>
    <row r="306" spans="1:12">
      <c r="A306" s="3" t="s">
        <v>612</v>
      </c>
      <c r="B306" s="29" t="s">
        <v>613</v>
      </c>
      <c r="C306" s="10" t="e">
        <f>SUMIF('[2]AGGREGATION to PREAGG_Migration'!A:A,A306,'[2]AGGREGATION to PREAGG_Migration'!D:D)+SUMIF('[2]SR12E&amp;SR7_Card Expansion'!A:A,A306,'[2]SR12E&amp;SR7_Card Expansion'!D:D)+SUMIF('[2]IXR Card Expansion'!A:A,A306,'[2]IXR Card Expansion'!D:D)+SUMIF([2]PREAGG_v2_SR7B!A:A,A306,[2]PREAGG_v2_SR7B!D:D)+SUMIF([2]PREAGG_IXR_R6v2!A:A,A306,[2]PREAGG_IXR_R6v2!D:D)+SUMIF([2]CSG_V1!A:A,A306,[2]CSG_V1!D:D)+SUMIF([2]ESA!A:A,A306,[2]ESA!D:D)+SUMIF([2]Accessories!A:A,A306,[2]Accessories!D:D)</f>
        <v>#VALUE!</v>
      </c>
      <c r="D306" s="9"/>
      <c r="E306" s="39" t="s">
        <v>612</v>
      </c>
      <c r="F306" s="14" t="s">
        <v>613</v>
      </c>
      <c r="G306" s="73">
        <v>1</v>
      </c>
      <c r="H306" s="22"/>
      <c r="I306" s="6" t="e">
        <f t="shared" si="16"/>
        <v>#VALUE!</v>
      </c>
      <c r="J306" s="66"/>
      <c r="K306" s="67"/>
      <c r="L306" s="67"/>
    </row>
    <row r="307" spans="1:12">
      <c r="A307" s="3" t="s">
        <v>614</v>
      </c>
      <c r="B307" s="29" t="s">
        <v>615</v>
      </c>
      <c r="C307" s="10" t="e">
        <f>SUMIF('[2]AGGREGATION to PREAGG_Migration'!A:A,A307,'[2]AGGREGATION to PREAGG_Migration'!D:D)+SUMIF('[2]SR12E&amp;SR7_Card Expansion'!A:A,A307,'[2]SR12E&amp;SR7_Card Expansion'!D:D)+SUMIF('[2]IXR Card Expansion'!A:A,A307,'[2]IXR Card Expansion'!D:D)+SUMIF([2]PREAGG_v2_SR7B!A:A,A307,[2]PREAGG_v2_SR7B!D:D)+SUMIF([2]PREAGG_IXR_R6v2!A:A,A307,[2]PREAGG_IXR_R6v2!D:D)+SUMIF([2]CSG_V1!A:A,A307,[2]CSG_V1!D:D)+SUMIF([2]ESA!A:A,A307,[2]ESA!D:D)+SUMIF([2]Accessories!A:A,A307,[2]Accessories!D:D)</f>
        <v>#VALUE!</v>
      </c>
      <c r="D307" s="9"/>
      <c r="E307" s="39" t="s">
        <v>614</v>
      </c>
      <c r="F307" s="14" t="s">
        <v>615</v>
      </c>
      <c r="G307" s="73">
        <v>1</v>
      </c>
      <c r="H307" s="22"/>
      <c r="I307" s="6" t="e">
        <f t="shared" si="16"/>
        <v>#VALUE!</v>
      </c>
      <c r="J307" s="66"/>
      <c r="K307" s="67"/>
      <c r="L307" s="67"/>
    </row>
    <row r="308" spans="1:12">
      <c r="A308" s="3" t="s">
        <v>616</v>
      </c>
      <c r="B308" s="29" t="s">
        <v>617</v>
      </c>
      <c r="C308" s="10" t="e">
        <f>SUMIF('[2]AGGREGATION to PREAGG_Migration'!A:A,A308,'[2]AGGREGATION to PREAGG_Migration'!D:D)+SUMIF('[2]SR12E&amp;SR7_Card Expansion'!A:A,A308,'[2]SR12E&amp;SR7_Card Expansion'!D:D)+SUMIF('[2]IXR Card Expansion'!A:A,A308,'[2]IXR Card Expansion'!D:D)+SUMIF([2]PREAGG_v2_SR7B!A:A,A308,[2]PREAGG_v2_SR7B!D:D)+SUMIF([2]PREAGG_IXR_R6v2!A:A,A308,[2]PREAGG_IXR_R6v2!D:D)+SUMIF([2]CSG_V1!A:A,A308,[2]CSG_V1!D:D)+SUMIF([2]ESA!A:A,A308,[2]ESA!D:D)+SUMIF([2]Accessories!A:A,A308,[2]Accessories!D:D)</f>
        <v>#VALUE!</v>
      </c>
      <c r="D308" s="9"/>
      <c r="E308" s="39" t="s">
        <v>616</v>
      </c>
      <c r="F308" s="14" t="s">
        <v>617</v>
      </c>
      <c r="G308" s="73">
        <v>1</v>
      </c>
      <c r="H308" s="22"/>
      <c r="I308" s="6" t="e">
        <f t="shared" si="16"/>
        <v>#VALUE!</v>
      </c>
      <c r="J308" s="66"/>
      <c r="K308" s="67"/>
      <c r="L308" s="67"/>
    </row>
    <row r="309" spans="1:12">
      <c r="A309" s="4" t="s">
        <v>618</v>
      </c>
      <c r="B309" s="29" t="s">
        <v>619</v>
      </c>
      <c r="C309" s="10" t="e">
        <f>SUMIF('[2]AGGREGATION to PREAGG_Migration'!A:A,A309,'[2]AGGREGATION to PREAGG_Migration'!D:D)+SUMIF('[2]SR12E&amp;SR7_Card Expansion'!A:A,A309,'[2]SR12E&amp;SR7_Card Expansion'!D:D)+SUMIF('[2]IXR Card Expansion'!A:A,A309,'[2]IXR Card Expansion'!D:D)+SUMIF([2]PREAGG_v2_SR7B!A:A,A309,[2]PREAGG_v2_SR7B!D:D)+SUMIF([2]PREAGG_IXR_R6v2!A:A,A309,[2]PREAGG_IXR_R6v2!D:D)+SUMIF([2]CSG_V1!A:A,A309,[2]CSG_V1!D:D)+SUMIF([2]ESA!A:A,A309,[2]ESA!D:D)+SUMIF([2]Accessories!A:A,A309,[2]Accessories!D:D)</f>
        <v>#VALUE!</v>
      </c>
      <c r="D309" s="9"/>
      <c r="E309" s="39" t="s">
        <v>618</v>
      </c>
      <c r="F309" s="14" t="s">
        <v>619</v>
      </c>
      <c r="G309" s="73">
        <v>1</v>
      </c>
      <c r="H309" s="22"/>
      <c r="I309" s="6" t="e">
        <f t="shared" si="16"/>
        <v>#VALUE!</v>
      </c>
      <c r="J309" s="66"/>
      <c r="K309" s="67"/>
      <c r="L309" s="67"/>
    </row>
    <row r="310" spans="1:12">
      <c r="A310" s="4" t="s">
        <v>620</v>
      </c>
      <c r="B310" s="29" t="s">
        <v>621</v>
      </c>
      <c r="C310" s="10" t="e">
        <f>SUMIF('[2]AGGREGATION to PREAGG_Migration'!A:A,A310,'[2]AGGREGATION to PREAGG_Migration'!D:D)+SUMIF('[2]SR12E&amp;SR7_Card Expansion'!A:A,A310,'[2]SR12E&amp;SR7_Card Expansion'!D:D)+SUMIF('[2]IXR Card Expansion'!A:A,A310,'[2]IXR Card Expansion'!D:D)+SUMIF([2]PREAGG_v2_SR7B!A:A,A310,[2]PREAGG_v2_SR7B!D:D)+SUMIF([2]PREAGG_IXR_R6v2!A:A,A310,[2]PREAGG_IXR_R6v2!D:D)+SUMIF([2]CSG_V1!A:A,A310,[2]CSG_V1!D:D)+SUMIF([2]ESA!A:A,A310,[2]ESA!D:D)+SUMIF([2]Accessories!A:A,A310,[2]Accessories!D:D)</f>
        <v>#VALUE!</v>
      </c>
      <c r="D310" s="9"/>
      <c r="E310" s="39" t="s">
        <v>620</v>
      </c>
      <c r="F310" s="14" t="s">
        <v>621</v>
      </c>
      <c r="G310" s="73">
        <v>1</v>
      </c>
      <c r="H310" s="22"/>
      <c r="I310" s="6" t="e">
        <f t="shared" si="16"/>
        <v>#VALUE!</v>
      </c>
      <c r="J310" s="66"/>
      <c r="K310" s="67"/>
      <c r="L310" s="67"/>
    </row>
    <row r="311" spans="1:12" s="6" customFormat="1">
      <c r="A311" s="4" t="s">
        <v>622</v>
      </c>
      <c r="B311" s="29" t="s">
        <v>623</v>
      </c>
      <c r="C311" s="10" t="e">
        <f>SUMIF('[2]AGGREGATION to PREAGG_Migration'!A:A,A311,'[2]AGGREGATION to PREAGG_Migration'!D:D)+SUMIF('[2]SR12E&amp;SR7_Card Expansion'!A:A,A311,'[2]SR12E&amp;SR7_Card Expansion'!D:D)+SUMIF('[2]IXR Card Expansion'!A:A,A311,'[2]IXR Card Expansion'!D:D)+SUMIF([2]PREAGG_v2_SR7B!A:A,A311,[2]PREAGG_v2_SR7B!D:D)+SUMIF([2]PREAGG_IXR_R6v2!A:A,A311,[2]PREAGG_IXR_R6v2!D:D)+SUMIF([2]CSG_V1!A:A,A311,[2]CSG_V1!D:D)+SUMIF([2]ESA!A:A,A311,[2]ESA!D:D)+SUMIF([2]Accessories!A:A,A311,[2]Accessories!D:D)</f>
        <v>#VALUE!</v>
      </c>
      <c r="D311" s="9"/>
      <c r="E311" s="39" t="s">
        <v>622</v>
      </c>
      <c r="F311" s="14" t="s">
        <v>623</v>
      </c>
      <c r="G311" s="73">
        <v>1</v>
      </c>
      <c r="H311" s="22"/>
      <c r="I311" s="6" t="e">
        <f t="shared" si="16"/>
        <v>#VALUE!</v>
      </c>
      <c r="J311" s="66"/>
      <c r="K311" s="67"/>
      <c r="L311" s="67"/>
    </row>
    <row r="312" spans="1:12">
      <c r="A312" s="4" t="s">
        <v>624</v>
      </c>
      <c r="B312" s="29" t="s">
        <v>625</v>
      </c>
      <c r="C312" s="10" t="e">
        <f>SUMIF('[2]AGGREGATION to PREAGG_Migration'!A:A,A312,'[2]AGGREGATION to PREAGG_Migration'!D:D)+SUMIF('[2]SR12E&amp;SR7_Card Expansion'!A:A,A312,'[2]SR12E&amp;SR7_Card Expansion'!D:D)+SUMIF('[2]IXR Card Expansion'!A:A,A312,'[2]IXR Card Expansion'!D:D)+SUMIF([2]PREAGG_v2_SR7B!A:A,A312,[2]PREAGG_v2_SR7B!D:D)+SUMIF([2]PREAGG_IXR_R6v2!A:A,A312,[2]PREAGG_IXR_R6v2!D:D)+SUMIF([2]CSG_V1!A:A,A312,[2]CSG_V1!D:D)+SUMIF([2]ESA!A:A,A312,[2]ESA!D:D)+SUMIF([2]Accessories!A:A,A312,[2]Accessories!D:D)</f>
        <v>#VALUE!</v>
      </c>
      <c r="D312" s="9"/>
      <c r="E312" s="39" t="s">
        <v>624</v>
      </c>
      <c r="F312" s="14" t="s">
        <v>625</v>
      </c>
      <c r="G312" s="73">
        <v>1</v>
      </c>
      <c r="H312" s="22"/>
      <c r="I312" s="6" t="e">
        <f t="shared" si="16"/>
        <v>#VALUE!</v>
      </c>
      <c r="J312" s="66"/>
      <c r="K312" s="67"/>
      <c r="L312" s="67"/>
    </row>
    <row r="313" spans="1:12">
      <c r="A313" s="4" t="s">
        <v>626</v>
      </c>
      <c r="B313" s="29" t="s">
        <v>627</v>
      </c>
      <c r="C313" s="10" t="e">
        <f>SUMIF('[2]AGGREGATION to PREAGG_Migration'!A:A,A313,'[2]AGGREGATION to PREAGG_Migration'!D:D)+SUMIF('[2]SR12E&amp;SR7_Card Expansion'!A:A,A313,'[2]SR12E&amp;SR7_Card Expansion'!D:D)+SUMIF('[2]IXR Card Expansion'!A:A,A313,'[2]IXR Card Expansion'!D:D)+SUMIF([2]PREAGG_v2_SR7B!A:A,A313,[2]PREAGG_v2_SR7B!D:D)+SUMIF([2]PREAGG_IXR_R6v2!A:A,A313,[2]PREAGG_IXR_R6v2!D:D)+SUMIF([2]CSG_V1!A:A,A313,[2]CSG_V1!D:D)+SUMIF([2]ESA!A:A,A313,[2]ESA!D:D)+SUMIF([2]Accessories!A:A,A313,[2]Accessories!D:D)</f>
        <v>#VALUE!</v>
      </c>
      <c r="D313" s="9"/>
      <c r="E313" s="39" t="s">
        <v>626</v>
      </c>
      <c r="F313" s="14" t="s">
        <v>627</v>
      </c>
      <c r="G313" s="73">
        <v>1</v>
      </c>
      <c r="H313" s="22"/>
      <c r="I313" s="6" t="e">
        <f t="shared" si="16"/>
        <v>#VALUE!</v>
      </c>
      <c r="J313" s="66"/>
      <c r="K313" s="67"/>
      <c r="L313" s="67"/>
    </row>
    <row r="314" spans="1:12">
      <c r="A314" s="4" t="s">
        <v>628</v>
      </c>
      <c r="B314" s="29" t="s">
        <v>629</v>
      </c>
      <c r="C314" s="10" t="e">
        <f>SUMIF('[2]AGGREGATION to PREAGG_Migration'!A:A,A314,'[2]AGGREGATION to PREAGG_Migration'!D:D)+SUMIF('[2]SR12E&amp;SR7_Card Expansion'!A:A,A314,'[2]SR12E&amp;SR7_Card Expansion'!D:D)+SUMIF('[2]IXR Card Expansion'!A:A,A314,'[2]IXR Card Expansion'!D:D)+SUMIF([2]PREAGG_v2_SR7B!A:A,A314,[2]PREAGG_v2_SR7B!D:D)+SUMIF([2]PREAGG_IXR_R6v2!A:A,A314,[2]PREAGG_IXR_R6v2!D:D)+SUMIF([2]CSG_V1!A:A,A314,[2]CSG_V1!D:D)+SUMIF([2]ESA!A:A,A314,[2]ESA!D:D)+SUMIF([2]Accessories!A:A,A314,[2]Accessories!D:D)</f>
        <v>#VALUE!</v>
      </c>
      <c r="D314" s="9"/>
      <c r="E314" s="39" t="s">
        <v>628</v>
      </c>
      <c r="F314" s="14" t="s">
        <v>629</v>
      </c>
      <c r="G314" s="73">
        <v>1</v>
      </c>
      <c r="H314" s="22"/>
      <c r="I314" s="6" t="e">
        <f t="shared" si="16"/>
        <v>#VALUE!</v>
      </c>
      <c r="J314" s="66"/>
      <c r="K314" s="67"/>
      <c r="L314" s="67"/>
    </row>
    <row r="315" spans="1:12">
      <c r="A315" s="4" t="s">
        <v>630</v>
      </c>
      <c r="B315" s="29" t="s">
        <v>631</v>
      </c>
      <c r="C315" s="10" t="e">
        <f>SUMIF('[2]AGGREGATION to PREAGG_Migration'!A:A,A315,'[2]AGGREGATION to PREAGG_Migration'!D:D)+SUMIF('[2]SR12E&amp;SR7_Card Expansion'!A:A,A315,'[2]SR12E&amp;SR7_Card Expansion'!D:D)+SUMIF('[2]IXR Card Expansion'!A:A,A315,'[2]IXR Card Expansion'!D:D)+SUMIF([2]PREAGG_v2_SR7B!A:A,A315,[2]PREAGG_v2_SR7B!D:D)+SUMIF([2]PREAGG_IXR_R6v2!A:A,A315,[2]PREAGG_IXR_R6v2!D:D)+SUMIF([2]CSG_V1!A:A,A315,[2]CSG_V1!D:D)+SUMIF([2]ESA!A:A,A315,[2]ESA!D:D)+SUMIF([2]Accessories!A:A,A315,[2]Accessories!D:D)</f>
        <v>#VALUE!</v>
      </c>
      <c r="D315" s="9"/>
      <c r="E315" s="39" t="s">
        <v>630</v>
      </c>
      <c r="F315" s="14" t="s">
        <v>631</v>
      </c>
      <c r="G315" s="73">
        <v>1</v>
      </c>
      <c r="H315" s="22"/>
      <c r="I315" s="6" t="e">
        <f t="shared" si="16"/>
        <v>#VALUE!</v>
      </c>
      <c r="J315" s="66"/>
      <c r="K315" s="67"/>
      <c r="L315" s="67"/>
    </row>
    <row r="316" spans="1:12" ht="30">
      <c r="A316" s="4" t="s">
        <v>632</v>
      </c>
      <c r="B316" s="29" t="s">
        <v>633</v>
      </c>
      <c r="C316" s="10" t="e">
        <f>SUMIF('[2]AGGREGATION to PREAGG_Migration'!A:A,A316,'[2]AGGREGATION to PREAGG_Migration'!D:D)+SUMIF('[2]SR12E&amp;SR7_Card Expansion'!A:A,A316,'[2]SR12E&amp;SR7_Card Expansion'!D:D)+SUMIF('[2]IXR Card Expansion'!A:A,A316,'[2]IXR Card Expansion'!D:D)+SUMIF([2]PREAGG_v2_SR7B!A:A,A316,[2]PREAGG_v2_SR7B!D:D)+SUMIF([2]PREAGG_IXR_R6v2!A:A,A316,[2]PREAGG_IXR_R6v2!D:D)+SUMIF([2]CSG_V1!A:A,A316,[2]CSG_V1!D:D)+SUMIF([2]ESA!A:A,A316,[2]ESA!D:D)+SUMIF([2]Accessories!A:A,A316,[2]Accessories!D:D)</f>
        <v>#VALUE!</v>
      </c>
      <c r="D316" s="9"/>
      <c r="E316" s="39" t="s">
        <v>634</v>
      </c>
      <c r="F316" s="14" t="s">
        <v>633</v>
      </c>
      <c r="G316" s="73">
        <v>1</v>
      </c>
      <c r="H316" s="22"/>
      <c r="I316" s="6" t="e">
        <f t="shared" si="16"/>
        <v>#VALUE!</v>
      </c>
      <c r="J316" s="66"/>
      <c r="K316" s="67"/>
      <c r="L316" s="67"/>
    </row>
    <row r="317" spans="1:12" ht="30">
      <c r="A317" s="4" t="s">
        <v>635</v>
      </c>
      <c r="B317" s="29" t="s">
        <v>636</v>
      </c>
      <c r="C317" s="10" t="e">
        <f>SUMIF('[2]AGGREGATION to PREAGG_Migration'!A:A,A317,'[2]AGGREGATION to PREAGG_Migration'!D:D)+SUMIF('[2]SR12E&amp;SR7_Card Expansion'!A:A,A317,'[2]SR12E&amp;SR7_Card Expansion'!D:D)+SUMIF('[2]IXR Card Expansion'!A:A,A317,'[2]IXR Card Expansion'!D:D)+SUMIF([2]PREAGG_v2_SR7B!A:A,A317,[2]PREAGG_v2_SR7B!D:D)+SUMIF([2]PREAGG_IXR_R6v2!A:A,A317,[2]PREAGG_IXR_R6v2!D:D)+SUMIF([2]CSG_V1!A:A,A317,[2]CSG_V1!D:D)+SUMIF([2]ESA!A:A,A317,[2]ESA!D:D)+SUMIF([2]Accessories!A:A,A317,[2]Accessories!D:D)</f>
        <v>#VALUE!</v>
      </c>
      <c r="D317" s="9"/>
      <c r="E317" s="39" t="s">
        <v>634</v>
      </c>
      <c r="F317" s="14" t="s">
        <v>636</v>
      </c>
      <c r="G317" s="73">
        <v>1</v>
      </c>
      <c r="H317" s="22"/>
      <c r="I317" s="6" t="e">
        <f t="shared" si="16"/>
        <v>#VALUE!</v>
      </c>
      <c r="J317" s="66"/>
      <c r="K317" s="67"/>
      <c r="L317" s="67"/>
    </row>
    <row r="318" spans="1:12" ht="30">
      <c r="A318" s="4" t="s">
        <v>637</v>
      </c>
      <c r="B318" s="29" t="s">
        <v>638</v>
      </c>
      <c r="C318" s="10" t="e">
        <f>SUMIF('[2]AGGREGATION to PREAGG_Migration'!A:A,A318,'[2]AGGREGATION to PREAGG_Migration'!D:D)+SUMIF('[2]SR12E&amp;SR7_Card Expansion'!A:A,A318,'[2]SR12E&amp;SR7_Card Expansion'!D:D)+SUMIF('[2]IXR Card Expansion'!A:A,A318,'[2]IXR Card Expansion'!D:D)+SUMIF([2]PREAGG_v2_SR7B!A:A,A318,[2]PREAGG_v2_SR7B!D:D)+SUMIF([2]PREAGG_IXR_R6v2!A:A,A318,[2]PREAGG_IXR_R6v2!D:D)+SUMIF([2]CSG_V1!A:A,A318,[2]CSG_V1!D:D)+SUMIF([2]ESA!A:A,A318,[2]ESA!D:D)+SUMIF([2]Accessories!A:A,A318,[2]Accessories!D:D)</f>
        <v>#VALUE!</v>
      </c>
      <c r="D318" s="9"/>
      <c r="E318" s="39" t="s">
        <v>637</v>
      </c>
      <c r="F318" s="14" t="s">
        <v>638</v>
      </c>
      <c r="G318" s="73">
        <v>1</v>
      </c>
      <c r="H318" s="22"/>
      <c r="I318" s="6" t="e">
        <f t="shared" si="16"/>
        <v>#VALUE!</v>
      </c>
      <c r="J318" s="66"/>
      <c r="K318" s="67"/>
      <c r="L318" s="67"/>
    </row>
    <row r="319" spans="1:12" ht="30">
      <c r="A319" s="4" t="s">
        <v>639</v>
      </c>
      <c r="B319" s="29" t="s">
        <v>640</v>
      </c>
      <c r="C319" s="10" t="e">
        <f>SUMIF('[2]AGGREGATION to PREAGG_Migration'!A:A,A319,'[2]AGGREGATION to PREAGG_Migration'!D:D)+SUMIF('[2]SR12E&amp;SR7_Card Expansion'!A:A,A319,'[2]SR12E&amp;SR7_Card Expansion'!D:D)+SUMIF('[2]IXR Card Expansion'!A:A,A319,'[2]IXR Card Expansion'!D:D)+SUMIF([2]PREAGG_v2_SR7B!A:A,A319,[2]PREAGG_v2_SR7B!D:D)+SUMIF([2]PREAGG_IXR_R6v2!A:A,A319,[2]PREAGG_IXR_R6v2!D:D)+SUMIF([2]CSG_V1!A:A,A319,[2]CSG_V1!D:D)+SUMIF([2]ESA!A:A,A319,[2]ESA!D:D)+SUMIF([2]Accessories!A:A,A319,[2]Accessories!D:D)</f>
        <v>#VALUE!</v>
      </c>
      <c r="D319" s="9"/>
      <c r="E319" s="39" t="s">
        <v>639</v>
      </c>
      <c r="F319" s="14" t="s">
        <v>640</v>
      </c>
      <c r="G319" s="73">
        <v>1</v>
      </c>
      <c r="H319" s="22"/>
      <c r="I319" s="6" t="e">
        <f t="shared" si="16"/>
        <v>#VALUE!</v>
      </c>
      <c r="J319" s="66"/>
      <c r="K319" s="67"/>
      <c r="L319" s="67"/>
    </row>
    <row r="320" spans="1:12" ht="60">
      <c r="A320" s="4" t="s">
        <v>641</v>
      </c>
      <c r="B320" s="29" t="s">
        <v>642</v>
      </c>
      <c r="C320" s="10" t="e">
        <f>SUMIF('[2]AGGREGATION to PREAGG_Migration'!A:A,A320,'[2]AGGREGATION to PREAGG_Migration'!D:D)+SUMIF('[2]SR12E&amp;SR7_Card Expansion'!A:A,A320,'[2]SR12E&amp;SR7_Card Expansion'!D:D)+SUMIF('[2]IXR Card Expansion'!A:A,A320,'[2]IXR Card Expansion'!D:D)+SUMIF([2]PREAGG_v2_SR7B!A:A,A320,[2]PREAGG_v2_SR7B!D:D)+SUMIF([2]PREAGG_IXR_R6v2!A:A,A320,[2]PREAGG_IXR_R6v2!D:D)+SUMIF([2]CSG_V1!A:A,A320,[2]CSG_V1!D:D)+SUMIF([2]ESA!A:A,A320,[2]ESA!D:D)+SUMIF([2]Accessories!A:A,A320,[2]Accessories!D:D)</f>
        <v>#VALUE!</v>
      </c>
      <c r="D320" s="9"/>
      <c r="E320" s="39" t="s">
        <v>641</v>
      </c>
      <c r="F320" s="14" t="s">
        <v>642</v>
      </c>
      <c r="G320" s="73">
        <v>1</v>
      </c>
      <c r="H320" s="22"/>
      <c r="I320" s="6" t="e">
        <f t="shared" si="16"/>
        <v>#VALUE!</v>
      </c>
      <c r="J320" s="66"/>
      <c r="K320" s="67"/>
      <c r="L320" s="67"/>
    </row>
    <row r="321" spans="1:12" s="6" customFormat="1">
      <c r="A321" s="4" t="s">
        <v>643</v>
      </c>
      <c r="B321" s="29" t="s">
        <v>644</v>
      </c>
      <c r="C321" s="10" t="e">
        <f>SUMIF('[2]AGGREGATION to PREAGG_Migration'!A:A,A321,'[2]AGGREGATION to PREAGG_Migration'!D:D)+SUMIF('[2]SR12E&amp;SR7_Card Expansion'!A:A,A321,'[2]SR12E&amp;SR7_Card Expansion'!D:D)+SUMIF('[2]IXR Card Expansion'!A:A,A321,'[2]IXR Card Expansion'!D:D)+SUMIF([2]PREAGG_v2_SR7B!A:A,A321,[2]PREAGG_v2_SR7B!D:D)+SUMIF([2]PREAGG_IXR_R6v2!A:A,A321,[2]PREAGG_IXR_R6v2!D:D)+SUMIF([2]CSG_V1!A:A,A321,[2]CSG_V1!D:D)+SUMIF([2]ESA!A:A,A321,[2]ESA!D:D)+SUMIF([2]Accessories!A:A,A321,[2]Accessories!D:D)</f>
        <v>#VALUE!</v>
      </c>
      <c r="D321" s="9"/>
      <c r="E321" s="39" t="s">
        <v>643</v>
      </c>
      <c r="F321" s="14" t="s">
        <v>644</v>
      </c>
      <c r="G321" s="73">
        <v>1</v>
      </c>
      <c r="H321" s="22"/>
      <c r="I321" s="6" t="e">
        <f t="shared" si="16"/>
        <v>#VALUE!</v>
      </c>
      <c r="J321" s="66"/>
      <c r="K321" s="67"/>
      <c r="L321" s="67"/>
    </row>
    <row r="322" spans="1:12" ht="45">
      <c r="A322" s="4" t="s">
        <v>645</v>
      </c>
      <c r="B322" s="29" t="s">
        <v>646</v>
      </c>
      <c r="C322" s="10" t="e">
        <f>SUMIF('[2]AGGREGATION to PREAGG_Migration'!A:A,A322,'[2]AGGREGATION to PREAGG_Migration'!D:D)+SUMIF('[2]SR12E&amp;SR7_Card Expansion'!A:A,A322,'[2]SR12E&amp;SR7_Card Expansion'!D:D)+SUMIF('[2]IXR Card Expansion'!A:A,A322,'[2]IXR Card Expansion'!D:D)+SUMIF([2]PREAGG_v2_SR7B!A:A,A322,[2]PREAGG_v2_SR7B!D:D)+SUMIF([2]PREAGG_IXR_R6v2!A:A,A322,[2]PREAGG_IXR_R6v2!D:D)+SUMIF([2]CSG_V1!A:A,A322,[2]CSG_V1!D:D)+SUMIF([2]ESA!A:A,A322,[2]ESA!D:D)+SUMIF([2]Accessories!A:A,A322,[2]Accessories!D:D)</f>
        <v>#VALUE!</v>
      </c>
      <c r="D322" s="9"/>
      <c r="E322" s="39" t="s">
        <v>645</v>
      </c>
      <c r="F322" s="14" t="s">
        <v>646</v>
      </c>
      <c r="G322" s="73">
        <v>1</v>
      </c>
      <c r="H322" s="22"/>
      <c r="I322" s="6" t="e">
        <f t="shared" si="16"/>
        <v>#VALUE!</v>
      </c>
      <c r="J322" s="66"/>
      <c r="K322" s="67"/>
      <c r="L322" s="67"/>
    </row>
    <row r="323" spans="1:12">
      <c r="A323" s="4" t="s">
        <v>647</v>
      </c>
      <c r="B323" s="29" t="s">
        <v>648</v>
      </c>
      <c r="C323" s="10" t="e">
        <f>SUMIF('[2]AGGREGATION to PREAGG_Migration'!A:A,A323,'[2]AGGREGATION to PREAGG_Migration'!D:D)+SUMIF('[2]SR12E&amp;SR7_Card Expansion'!A:A,A323,'[2]SR12E&amp;SR7_Card Expansion'!D:D)+SUMIF('[2]IXR Card Expansion'!A:A,A323,'[2]IXR Card Expansion'!D:D)+SUMIF([2]PREAGG_v2_SR7B!A:A,A323,[2]PREAGG_v2_SR7B!D:D)+SUMIF([2]PREAGG_IXR_R6v2!A:A,A323,[2]PREAGG_IXR_R6v2!D:D)+SUMIF([2]CSG_V1!A:A,A323,[2]CSG_V1!D:D)+SUMIF([2]ESA!A:A,A323,[2]ESA!D:D)+SUMIF([2]Accessories!A:A,A323,[2]Accessories!D:D)</f>
        <v>#VALUE!</v>
      </c>
      <c r="D323" s="9"/>
      <c r="E323" s="39" t="s">
        <v>647</v>
      </c>
      <c r="F323" s="14" t="s">
        <v>648</v>
      </c>
      <c r="G323" s="73">
        <v>1</v>
      </c>
      <c r="H323" s="22"/>
      <c r="I323" s="6" t="e">
        <f t="shared" si="16"/>
        <v>#VALUE!</v>
      </c>
      <c r="J323" s="66"/>
      <c r="K323" s="67"/>
      <c r="L323" s="67"/>
    </row>
    <row r="324" spans="1:12" ht="45">
      <c r="A324" s="4" t="s">
        <v>649</v>
      </c>
      <c r="B324" s="29" t="s">
        <v>650</v>
      </c>
      <c r="C324" s="10" t="e">
        <f>SUMIF('[2]AGGREGATION to PREAGG_Migration'!A:A,A324,'[2]AGGREGATION to PREAGG_Migration'!D:D)+SUMIF('[2]SR12E&amp;SR7_Card Expansion'!A:A,A324,'[2]SR12E&amp;SR7_Card Expansion'!D:D)+SUMIF('[2]IXR Card Expansion'!A:A,A324,'[2]IXR Card Expansion'!D:D)+SUMIF([2]PREAGG_v2_SR7B!A:A,A324,[2]PREAGG_v2_SR7B!D:D)+SUMIF([2]PREAGG_IXR_R6v2!A:A,A324,[2]PREAGG_IXR_R6v2!D:D)+SUMIF([2]CSG_V1!A:A,A324,[2]CSG_V1!D:D)+SUMIF([2]ESA!A:A,A324,[2]ESA!D:D)+SUMIF([2]Accessories!A:A,A324,[2]Accessories!D:D)</f>
        <v>#VALUE!</v>
      </c>
      <c r="D324" s="9"/>
      <c r="E324" s="39" t="s">
        <v>649</v>
      </c>
      <c r="F324" s="14" t="s">
        <v>650</v>
      </c>
      <c r="G324" s="73">
        <v>1</v>
      </c>
      <c r="H324" s="22"/>
      <c r="I324" s="6" t="e">
        <f t="shared" si="16"/>
        <v>#VALUE!</v>
      </c>
      <c r="J324" s="66"/>
      <c r="K324" s="67"/>
      <c r="L324" s="67"/>
    </row>
    <row r="325" spans="1:12" ht="30">
      <c r="A325" s="4" t="s">
        <v>651</v>
      </c>
      <c r="B325" s="29" t="s">
        <v>652</v>
      </c>
      <c r="C325" s="10" t="e">
        <f>SUMIF('[2]AGGREGATION to PREAGG_Migration'!A:A,A325,'[2]AGGREGATION to PREAGG_Migration'!D:D)+SUMIF('[2]SR12E&amp;SR7_Card Expansion'!A:A,A325,'[2]SR12E&amp;SR7_Card Expansion'!D:D)+SUMIF('[2]IXR Card Expansion'!A:A,A325,'[2]IXR Card Expansion'!D:D)+SUMIF([2]PREAGG_v2_SR7B!A:A,A325,[2]PREAGG_v2_SR7B!D:D)+SUMIF([2]PREAGG_IXR_R6v2!A:A,A325,[2]PREAGG_IXR_R6v2!D:D)+SUMIF([2]CSG_V1!A:A,A325,[2]CSG_V1!D:D)+SUMIF([2]ESA!A:A,A325,[2]ESA!D:D)+SUMIF([2]Accessories!A:A,A325,[2]Accessories!D:D)</f>
        <v>#VALUE!</v>
      </c>
      <c r="D325" s="9"/>
      <c r="E325" s="39" t="s">
        <v>651</v>
      </c>
      <c r="F325" s="14" t="s">
        <v>652</v>
      </c>
      <c r="G325" s="73">
        <v>1</v>
      </c>
      <c r="H325" s="22"/>
      <c r="I325" s="6" t="e">
        <f t="shared" si="16"/>
        <v>#VALUE!</v>
      </c>
      <c r="J325" s="66"/>
      <c r="K325" s="67"/>
      <c r="L325" s="67"/>
    </row>
    <row r="326" spans="1:12" ht="30">
      <c r="A326" s="4" t="s">
        <v>653</v>
      </c>
      <c r="B326" s="29" t="s">
        <v>654</v>
      </c>
      <c r="C326" s="10" t="e">
        <f>SUMIF('[2]AGGREGATION to PREAGG_Migration'!A:A,A326,'[2]AGGREGATION to PREAGG_Migration'!D:D)+SUMIF('[2]SR12E&amp;SR7_Card Expansion'!A:A,A326,'[2]SR12E&amp;SR7_Card Expansion'!D:D)+SUMIF('[2]IXR Card Expansion'!A:A,A326,'[2]IXR Card Expansion'!D:D)+SUMIF([2]PREAGG_v2_SR7B!A:A,A326,[2]PREAGG_v2_SR7B!D:D)+SUMIF([2]PREAGG_IXR_R6v2!A:A,A326,[2]PREAGG_IXR_R6v2!D:D)+SUMIF([2]CSG_V1!A:A,A326,[2]CSG_V1!D:D)+SUMIF([2]ESA!A:A,A326,[2]ESA!D:D)+SUMIF([2]Accessories!A:A,A326,[2]Accessories!D:D)</f>
        <v>#VALUE!</v>
      </c>
      <c r="D326" s="9"/>
      <c r="E326" s="39" t="s">
        <v>653</v>
      </c>
      <c r="F326" s="14" t="s">
        <v>654</v>
      </c>
      <c r="G326" s="73">
        <v>1</v>
      </c>
      <c r="H326" s="22"/>
      <c r="I326" s="6" t="e">
        <f t="shared" si="16"/>
        <v>#VALUE!</v>
      </c>
      <c r="J326" s="66"/>
      <c r="K326" s="67"/>
      <c r="L326" s="67"/>
    </row>
    <row r="327" spans="1:12" ht="30">
      <c r="A327" s="4" t="s">
        <v>655</v>
      </c>
      <c r="B327" s="29" t="s">
        <v>656</v>
      </c>
      <c r="C327" s="10" t="e">
        <f>SUMIF('[2]AGGREGATION to PREAGG_Migration'!A:A,A327,'[2]AGGREGATION to PREAGG_Migration'!D:D)+SUMIF('[2]SR12E&amp;SR7_Card Expansion'!A:A,A327,'[2]SR12E&amp;SR7_Card Expansion'!D:D)+SUMIF('[2]IXR Card Expansion'!A:A,A327,'[2]IXR Card Expansion'!D:D)+SUMIF([2]PREAGG_v2_SR7B!A:A,A327,[2]PREAGG_v2_SR7B!D:D)+SUMIF([2]PREAGG_IXR_R6v2!A:A,A327,[2]PREAGG_IXR_R6v2!D:D)+SUMIF([2]CSG_V1!A:A,A327,[2]CSG_V1!D:D)+SUMIF([2]ESA!A:A,A327,[2]ESA!D:D)+SUMIF([2]Accessories!A:A,A327,[2]Accessories!D:D)</f>
        <v>#VALUE!</v>
      </c>
      <c r="D327" s="9"/>
      <c r="E327" s="39" t="s">
        <v>655</v>
      </c>
      <c r="F327" s="14" t="s">
        <v>656</v>
      </c>
      <c r="G327" s="73">
        <v>1</v>
      </c>
      <c r="H327" s="22"/>
      <c r="I327" s="6" t="e">
        <f t="shared" si="16"/>
        <v>#VALUE!</v>
      </c>
      <c r="J327" s="66"/>
      <c r="K327" s="67"/>
      <c r="L327" s="67"/>
    </row>
    <row r="328" spans="1:12" ht="30">
      <c r="A328" s="4" t="s">
        <v>657</v>
      </c>
      <c r="B328" s="29" t="s">
        <v>658</v>
      </c>
      <c r="C328" s="10" t="e">
        <f>SUMIF('[2]AGGREGATION to PREAGG_Migration'!A:A,A328,'[2]AGGREGATION to PREAGG_Migration'!D:D)+SUMIF('[2]SR12E&amp;SR7_Card Expansion'!A:A,A328,'[2]SR12E&amp;SR7_Card Expansion'!D:D)+SUMIF('[2]IXR Card Expansion'!A:A,A328,'[2]IXR Card Expansion'!D:D)+SUMIF([2]PREAGG_v2_SR7B!A:A,A328,[2]PREAGG_v2_SR7B!D:D)+SUMIF([2]PREAGG_IXR_R6v2!A:A,A328,[2]PREAGG_IXR_R6v2!D:D)+SUMIF([2]CSG_V1!A:A,A328,[2]CSG_V1!D:D)+SUMIF([2]ESA!A:A,A328,[2]ESA!D:D)+SUMIF([2]Accessories!A:A,A328,[2]Accessories!D:D)</f>
        <v>#VALUE!</v>
      </c>
      <c r="D328" s="9"/>
      <c r="E328" s="39" t="s">
        <v>657</v>
      </c>
      <c r="F328" s="14" t="s">
        <v>658</v>
      </c>
      <c r="G328" s="73">
        <v>1</v>
      </c>
      <c r="H328" s="22"/>
      <c r="I328" s="6" t="e">
        <f t="shared" si="16"/>
        <v>#VALUE!</v>
      </c>
      <c r="J328" s="66"/>
      <c r="K328" s="67"/>
      <c r="L328" s="67"/>
    </row>
    <row r="329" spans="1:12" ht="30">
      <c r="A329" s="4" t="s">
        <v>659</v>
      </c>
      <c r="B329" s="29" t="s">
        <v>660</v>
      </c>
      <c r="C329" s="10" t="e">
        <f>SUMIF('[2]AGGREGATION to PREAGG_Migration'!A:A,A329,'[2]AGGREGATION to PREAGG_Migration'!D:D)+SUMIF('[2]SR12E&amp;SR7_Card Expansion'!A:A,A329,'[2]SR12E&amp;SR7_Card Expansion'!D:D)+SUMIF('[2]IXR Card Expansion'!A:A,A329,'[2]IXR Card Expansion'!D:D)+SUMIF([2]PREAGG_v2_SR7B!A:A,A329,[2]PREAGG_v2_SR7B!D:D)+SUMIF([2]PREAGG_IXR_R6v2!A:A,A329,[2]PREAGG_IXR_R6v2!D:D)+SUMIF([2]CSG_V1!A:A,A329,[2]CSG_V1!D:D)+SUMIF([2]ESA!A:A,A329,[2]ESA!D:D)+SUMIF([2]Accessories!A:A,A329,[2]Accessories!D:D)</f>
        <v>#VALUE!</v>
      </c>
      <c r="D329" s="9"/>
      <c r="E329" s="39" t="s">
        <v>659</v>
      </c>
      <c r="F329" s="14" t="s">
        <v>660</v>
      </c>
      <c r="G329" s="73">
        <v>1</v>
      </c>
      <c r="H329" s="22"/>
      <c r="I329" s="6" t="e">
        <f t="shared" si="16"/>
        <v>#VALUE!</v>
      </c>
      <c r="J329" s="66"/>
      <c r="K329" s="67"/>
      <c r="L329" s="67"/>
    </row>
    <row r="330" spans="1:12" ht="45">
      <c r="A330" s="4" t="s">
        <v>661</v>
      </c>
      <c r="B330" s="29" t="s">
        <v>662</v>
      </c>
      <c r="C330" s="10" t="e">
        <f>SUMIF('[2]AGGREGATION to PREAGG_Migration'!A:A,A330,'[2]AGGREGATION to PREAGG_Migration'!D:D)+SUMIF('[2]SR12E&amp;SR7_Card Expansion'!A:A,A330,'[2]SR12E&amp;SR7_Card Expansion'!D:D)+SUMIF('[2]IXR Card Expansion'!A:A,A330,'[2]IXR Card Expansion'!D:D)+SUMIF([2]PREAGG_v2_SR7B!A:A,A330,[2]PREAGG_v2_SR7B!D:D)+SUMIF([2]PREAGG_IXR_R6v2!A:A,A330,[2]PREAGG_IXR_R6v2!D:D)+SUMIF([2]CSG_V1!A:A,A330,[2]CSG_V1!D:D)+SUMIF([2]ESA!A:A,A330,[2]ESA!D:D)+SUMIF([2]Accessories!A:A,A330,[2]Accessories!D:D)</f>
        <v>#VALUE!</v>
      </c>
      <c r="D330" s="9"/>
      <c r="E330" s="39" t="s">
        <v>661</v>
      </c>
      <c r="F330" s="14" t="s">
        <v>662</v>
      </c>
      <c r="G330" s="73">
        <v>1</v>
      </c>
      <c r="H330" s="22"/>
      <c r="I330" s="6" t="e">
        <f t="shared" si="16"/>
        <v>#VALUE!</v>
      </c>
      <c r="J330" s="66"/>
      <c r="K330" s="67"/>
      <c r="L330" s="67"/>
    </row>
    <row r="331" spans="1:12" ht="30">
      <c r="A331" s="4" t="s">
        <v>663</v>
      </c>
      <c r="B331" s="29" t="s">
        <v>664</v>
      </c>
      <c r="C331" s="10" t="e">
        <f>SUMIF('[2]AGGREGATION to PREAGG_Migration'!A:A,A331,'[2]AGGREGATION to PREAGG_Migration'!D:D)+SUMIF('[2]SR12E&amp;SR7_Card Expansion'!A:A,A331,'[2]SR12E&amp;SR7_Card Expansion'!D:D)+SUMIF('[2]IXR Card Expansion'!A:A,A331,'[2]IXR Card Expansion'!D:D)+SUMIF([2]PREAGG_v2_SR7B!A:A,A331,[2]PREAGG_v2_SR7B!D:D)+SUMIF([2]PREAGG_IXR_R6v2!A:A,A331,[2]PREAGG_IXR_R6v2!D:D)+SUMIF([2]CSG_V1!A:A,A331,[2]CSG_V1!D:D)+SUMIF([2]ESA!A:A,A331,[2]ESA!D:D)+SUMIF([2]Accessories!A:A,A331,[2]Accessories!D:D)</f>
        <v>#VALUE!</v>
      </c>
      <c r="D331" s="9"/>
      <c r="E331" s="39" t="s">
        <v>663</v>
      </c>
      <c r="F331" s="14" t="s">
        <v>664</v>
      </c>
      <c r="G331" s="73">
        <v>1</v>
      </c>
      <c r="H331" s="22"/>
      <c r="I331" s="6" t="e">
        <f t="shared" si="16"/>
        <v>#VALUE!</v>
      </c>
      <c r="J331" s="66"/>
      <c r="K331" s="67"/>
      <c r="L331" s="67"/>
    </row>
    <row r="332" spans="1:12" s="6" customFormat="1" ht="30">
      <c r="A332" s="4" t="s">
        <v>665</v>
      </c>
      <c r="B332" s="29" t="s">
        <v>665</v>
      </c>
      <c r="C332" s="10" t="e">
        <f>SUMIF('[2]AGGREGATION to PREAGG_Migration'!A:A,A332,'[2]AGGREGATION to PREAGG_Migration'!D:D)+SUMIF('[2]SR12E&amp;SR7_Card Expansion'!A:A,A332,'[2]SR12E&amp;SR7_Card Expansion'!D:D)+SUMIF('[2]IXR Card Expansion'!A:A,A332,'[2]IXR Card Expansion'!D:D)+SUMIF([2]PREAGG_v2_SR7B!A:A,A332,[2]PREAGG_v2_SR7B!D:D)+SUMIF([2]PREAGG_IXR_R6v2!A:A,A332,[2]PREAGG_IXR_R6v2!D:D)+SUMIF([2]CSG_V1!A:A,A332,[2]CSG_V1!D:D)+SUMIF([2]ESA!A:A,A332,[2]ESA!D:D)+SUMIF([2]Accessories!A:A,A332,[2]Accessories!D:D)</f>
        <v>#VALUE!</v>
      </c>
      <c r="D332" s="9"/>
      <c r="E332" s="39" t="s">
        <v>665</v>
      </c>
      <c r="F332" s="14" t="s">
        <v>665</v>
      </c>
      <c r="G332" s="73">
        <v>1</v>
      </c>
      <c r="H332" s="22"/>
      <c r="I332" s="6" t="e">
        <f t="shared" si="16"/>
        <v>#VALUE!</v>
      </c>
      <c r="J332" s="66"/>
      <c r="K332" s="67"/>
      <c r="L332" s="67"/>
    </row>
    <row r="333" spans="1:12" ht="45">
      <c r="A333" s="4" t="s">
        <v>666</v>
      </c>
      <c r="B333" s="29" t="s">
        <v>667</v>
      </c>
      <c r="C333" s="10" t="e">
        <f>SUMIF('[2]AGGREGATION to PREAGG_Migration'!A:A,A333,'[2]AGGREGATION to PREAGG_Migration'!D:D)+SUMIF('[2]SR12E&amp;SR7_Card Expansion'!A:A,A333,'[2]SR12E&amp;SR7_Card Expansion'!D:D)+SUMIF('[2]IXR Card Expansion'!A:A,A333,'[2]IXR Card Expansion'!D:D)+SUMIF([2]PREAGG_v2_SR7B!A:A,A333,[2]PREAGG_v2_SR7B!D:D)+SUMIF([2]PREAGG_IXR_R6v2!A:A,A333,[2]PREAGG_IXR_R6v2!D:D)+SUMIF([2]CSG_V1!A:A,A333,[2]CSG_V1!D:D)+SUMIF([2]ESA!A:A,A333,[2]ESA!D:D)+SUMIF([2]Accessories!A:A,A333,[2]Accessories!D:D)</f>
        <v>#VALUE!</v>
      </c>
      <c r="D333" s="9"/>
      <c r="E333" s="39" t="s">
        <v>666</v>
      </c>
      <c r="F333" s="14" t="s">
        <v>667</v>
      </c>
      <c r="G333" s="73">
        <v>1</v>
      </c>
      <c r="H333" s="22"/>
      <c r="I333" s="6" t="e">
        <f t="shared" si="16"/>
        <v>#VALUE!</v>
      </c>
      <c r="J333" s="66"/>
      <c r="K333" s="67"/>
      <c r="L333" s="67"/>
    </row>
    <row r="334" spans="1:12" ht="30">
      <c r="A334" s="4" t="s">
        <v>668</v>
      </c>
      <c r="B334" s="29" t="s">
        <v>669</v>
      </c>
      <c r="C334" s="10" t="e">
        <f>SUMIF('[2]AGGREGATION to PREAGG_Migration'!A:A,A334,'[2]AGGREGATION to PREAGG_Migration'!D:D)+SUMIF('[2]SR12E&amp;SR7_Card Expansion'!A:A,A334,'[2]SR12E&amp;SR7_Card Expansion'!D:D)+SUMIF('[2]IXR Card Expansion'!A:A,A334,'[2]IXR Card Expansion'!D:D)+SUMIF([2]PREAGG_v2_SR7B!A:A,A334,[2]PREAGG_v2_SR7B!D:D)+SUMIF([2]PREAGG_IXR_R6v2!A:A,A334,[2]PREAGG_IXR_R6v2!D:D)+SUMIF([2]CSG_V1!A:A,A334,[2]CSG_V1!D:D)+SUMIF([2]ESA!A:A,A334,[2]ESA!D:D)+SUMIF([2]Accessories!A:A,A334,[2]Accessories!D:D)</f>
        <v>#VALUE!</v>
      </c>
      <c r="D334" s="9"/>
      <c r="E334" s="39" t="s">
        <v>668</v>
      </c>
      <c r="F334" s="14" t="s">
        <v>669</v>
      </c>
      <c r="G334" s="73">
        <v>1</v>
      </c>
      <c r="H334" s="22"/>
      <c r="I334" s="6" t="e">
        <f t="shared" si="16"/>
        <v>#VALUE!</v>
      </c>
      <c r="J334" s="66"/>
      <c r="K334" s="67"/>
      <c r="L334" s="67"/>
    </row>
    <row r="335" spans="1:12" ht="30">
      <c r="A335" s="4" t="s">
        <v>670</v>
      </c>
      <c r="B335" s="29" t="s">
        <v>671</v>
      </c>
      <c r="C335" s="10" t="e">
        <f>SUMIF('[2]AGGREGATION to PREAGG_Migration'!A:A,A335,'[2]AGGREGATION to PREAGG_Migration'!D:D)+SUMIF('[2]SR12E&amp;SR7_Card Expansion'!A:A,A335,'[2]SR12E&amp;SR7_Card Expansion'!D:D)+SUMIF('[2]IXR Card Expansion'!A:A,A335,'[2]IXR Card Expansion'!D:D)+SUMIF([2]PREAGG_v2_SR7B!A:A,A335,[2]PREAGG_v2_SR7B!D:D)+SUMIF([2]PREAGG_IXR_R6v2!A:A,A335,[2]PREAGG_IXR_R6v2!D:D)+SUMIF([2]CSG_V1!A:A,A335,[2]CSG_V1!D:D)+SUMIF([2]ESA!A:A,A335,[2]ESA!D:D)+SUMIF([2]Accessories!A:A,A335,[2]Accessories!D:D)</f>
        <v>#VALUE!</v>
      </c>
      <c r="D335" s="9"/>
      <c r="E335" s="39" t="s">
        <v>670</v>
      </c>
      <c r="F335" s="14" t="s">
        <v>671</v>
      </c>
      <c r="G335" s="73">
        <v>1</v>
      </c>
      <c r="H335" s="22"/>
      <c r="I335" s="6" t="e">
        <f t="shared" si="16"/>
        <v>#VALUE!</v>
      </c>
      <c r="J335" s="66"/>
      <c r="K335" s="67"/>
      <c r="L335" s="67"/>
    </row>
    <row r="336" spans="1:12" ht="30">
      <c r="A336" s="4" t="s">
        <v>672</v>
      </c>
      <c r="B336" s="29" t="s">
        <v>673</v>
      </c>
      <c r="C336" s="10" t="e">
        <f>SUMIF('[2]AGGREGATION to PREAGG_Migration'!A:A,A336,'[2]AGGREGATION to PREAGG_Migration'!D:D)+SUMIF('[2]SR12E&amp;SR7_Card Expansion'!A:A,A336,'[2]SR12E&amp;SR7_Card Expansion'!D:D)+SUMIF('[2]IXR Card Expansion'!A:A,A336,'[2]IXR Card Expansion'!D:D)+SUMIF([2]PREAGG_v2_SR7B!A:A,A336,[2]PREAGG_v2_SR7B!D:D)+SUMIF([2]PREAGG_IXR_R6v2!A:A,A336,[2]PREAGG_IXR_R6v2!D:D)+SUMIF([2]CSG_V1!A:A,A336,[2]CSG_V1!D:D)+SUMIF([2]ESA!A:A,A336,[2]ESA!D:D)+SUMIF([2]Accessories!A:A,A336,[2]Accessories!D:D)</f>
        <v>#VALUE!</v>
      </c>
      <c r="D336" s="9"/>
      <c r="E336" s="39" t="s">
        <v>672</v>
      </c>
      <c r="F336" s="14" t="s">
        <v>673</v>
      </c>
      <c r="G336" s="73">
        <v>1</v>
      </c>
      <c r="H336" s="22"/>
      <c r="I336" s="6" t="e">
        <f t="shared" si="16"/>
        <v>#VALUE!</v>
      </c>
      <c r="J336" s="66"/>
      <c r="K336" s="67"/>
      <c r="L336" s="67"/>
    </row>
    <row r="337" spans="1:12" ht="30">
      <c r="A337" s="4" t="s">
        <v>674</v>
      </c>
      <c r="B337" s="29" t="s">
        <v>675</v>
      </c>
      <c r="C337" s="10" t="e">
        <f>SUMIF('[2]AGGREGATION to PREAGG_Migration'!A:A,A337,'[2]AGGREGATION to PREAGG_Migration'!D:D)+SUMIF('[2]SR12E&amp;SR7_Card Expansion'!A:A,A337,'[2]SR12E&amp;SR7_Card Expansion'!D:D)+SUMIF('[2]IXR Card Expansion'!A:A,A337,'[2]IXR Card Expansion'!D:D)+SUMIF([2]PREAGG_v2_SR7B!A:A,A337,[2]PREAGG_v2_SR7B!D:D)+SUMIF([2]PREAGG_IXR_R6v2!A:A,A337,[2]PREAGG_IXR_R6v2!D:D)+SUMIF([2]CSG_V1!A:A,A337,[2]CSG_V1!D:D)+SUMIF([2]ESA!A:A,A337,[2]ESA!D:D)+SUMIF([2]Accessories!A:A,A337,[2]Accessories!D:D)</f>
        <v>#VALUE!</v>
      </c>
      <c r="D337" s="9"/>
      <c r="E337" s="39" t="s">
        <v>674</v>
      </c>
      <c r="F337" s="14" t="s">
        <v>675</v>
      </c>
      <c r="G337" s="73">
        <v>1</v>
      </c>
      <c r="H337" s="22"/>
      <c r="I337" s="6" t="e">
        <f t="shared" si="16"/>
        <v>#VALUE!</v>
      </c>
      <c r="J337" s="66"/>
      <c r="K337" s="67"/>
      <c r="L337" s="67"/>
    </row>
    <row r="338" spans="1:12" ht="30">
      <c r="A338" s="4" t="s">
        <v>676</v>
      </c>
      <c r="B338" s="29" t="s">
        <v>677</v>
      </c>
      <c r="C338" s="10" t="e">
        <f>SUMIF('[2]AGGREGATION to PREAGG_Migration'!A:A,A338,'[2]AGGREGATION to PREAGG_Migration'!D:D)+SUMIF('[2]SR12E&amp;SR7_Card Expansion'!A:A,A338,'[2]SR12E&amp;SR7_Card Expansion'!D:D)+SUMIF('[2]IXR Card Expansion'!A:A,A338,'[2]IXR Card Expansion'!D:D)+SUMIF([2]PREAGG_v2_SR7B!A:A,A338,[2]PREAGG_v2_SR7B!D:D)+SUMIF([2]PREAGG_IXR_R6v2!A:A,A338,[2]PREAGG_IXR_R6v2!D:D)+SUMIF([2]CSG_V1!A:A,A338,[2]CSG_V1!D:D)+SUMIF([2]ESA!A:A,A338,[2]ESA!D:D)+SUMIF([2]Accessories!A:A,A338,[2]Accessories!D:D)</f>
        <v>#VALUE!</v>
      </c>
      <c r="D338" s="9"/>
      <c r="E338" s="39" t="s">
        <v>676</v>
      </c>
      <c r="F338" s="14" t="s">
        <v>677</v>
      </c>
      <c r="G338" s="73">
        <v>1</v>
      </c>
      <c r="H338" s="22"/>
      <c r="I338" s="6" t="e">
        <f t="shared" si="16"/>
        <v>#VALUE!</v>
      </c>
      <c r="J338" s="66"/>
      <c r="K338" s="67"/>
      <c r="L338" s="67"/>
    </row>
    <row r="339" spans="1:12" ht="30">
      <c r="A339" s="4" t="s">
        <v>678</v>
      </c>
      <c r="B339" s="29" t="s">
        <v>679</v>
      </c>
      <c r="C339" s="10" t="e">
        <f>SUMIF('[2]AGGREGATION to PREAGG_Migration'!A:A,A339,'[2]AGGREGATION to PREAGG_Migration'!D:D)+SUMIF('[2]SR12E&amp;SR7_Card Expansion'!A:A,A339,'[2]SR12E&amp;SR7_Card Expansion'!D:D)+SUMIF('[2]IXR Card Expansion'!A:A,A339,'[2]IXR Card Expansion'!D:D)+SUMIF([2]PREAGG_v2_SR7B!A:A,A339,[2]PREAGG_v2_SR7B!D:D)+SUMIF([2]PREAGG_IXR_R6v2!A:A,A339,[2]PREAGG_IXR_R6v2!D:D)+SUMIF([2]CSG_V1!A:A,A339,[2]CSG_V1!D:D)+SUMIF([2]ESA!A:A,A339,[2]ESA!D:D)+SUMIF([2]Accessories!A:A,A339,[2]Accessories!D:D)</f>
        <v>#VALUE!</v>
      </c>
      <c r="D339" s="9"/>
      <c r="E339" s="39" t="s">
        <v>678</v>
      </c>
      <c r="F339" s="14" t="s">
        <v>679</v>
      </c>
      <c r="G339" s="73">
        <v>1</v>
      </c>
      <c r="H339" s="22"/>
      <c r="I339" s="6" t="e">
        <f t="shared" si="16"/>
        <v>#VALUE!</v>
      </c>
      <c r="J339" s="66"/>
      <c r="K339" s="67"/>
      <c r="L339" s="67"/>
    </row>
    <row r="340" spans="1:12">
      <c r="A340" s="4" t="s">
        <v>680</v>
      </c>
      <c r="B340" s="29" t="s">
        <v>681</v>
      </c>
      <c r="C340" s="10" t="e">
        <f>SUMIF('[2]AGGREGATION to PREAGG_Migration'!A:A,A340,'[2]AGGREGATION to PREAGG_Migration'!D:D)+SUMIF('[2]SR12E&amp;SR7_Card Expansion'!A:A,A340,'[2]SR12E&amp;SR7_Card Expansion'!D:D)+SUMIF('[2]IXR Card Expansion'!A:A,A340,'[2]IXR Card Expansion'!D:D)+SUMIF([2]PREAGG_v2_SR7B!A:A,A340,[2]PREAGG_v2_SR7B!D:D)+SUMIF([2]PREAGG_IXR_R6v2!A:A,A340,[2]PREAGG_IXR_R6v2!D:D)+SUMIF([2]CSG_V1!A:A,A340,[2]CSG_V1!D:D)+SUMIF([2]ESA!A:A,A340,[2]ESA!D:D)+SUMIF([2]Accessories!A:A,A340,[2]Accessories!D:D)</f>
        <v>#VALUE!</v>
      </c>
      <c r="D340" s="9"/>
      <c r="E340" s="39" t="s">
        <v>680</v>
      </c>
      <c r="F340" s="14" t="s">
        <v>681</v>
      </c>
      <c r="G340" s="73">
        <v>1</v>
      </c>
      <c r="H340" s="22"/>
      <c r="I340" s="6" t="e">
        <f t="shared" si="16"/>
        <v>#VALUE!</v>
      </c>
      <c r="J340" s="66"/>
      <c r="K340" s="67"/>
      <c r="L340" s="67"/>
    </row>
    <row r="341" spans="1:12">
      <c r="A341" s="4" t="s">
        <v>682</v>
      </c>
      <c r="B341" s="29" t="s">
        <v>683</v>
      </c>
      <c r="C341" s="10" t="e">
        <f>SUMIF('[2]AGGREGATION to PREAGG_Migration'!A:A,A341,'[2]AGGREGATION to PREAGG_Migration'!D:D)+SUMIF('[2]SR12E&amp;SR7_Card Expansion'!A:A,A341,'[2]SR12E&amp;SR7_Card Expansion'!D:D)+SUMIF('[2]IXR Card Expansion'!A:A,A341,'[2]IXR Card Expansion'!D:D)+SUMIF([2]PREAGG_v2_SR7B!A:A,A341,[2]PREAGG_v2_SR7B!D:D)+SUMIF([2]PREAGG_IXR_R6v2!A:A,A341,[2]PREAGG_IXR_R6v2!D:D)+SUMIF([2]CSG_V1!A:A,A341,[2]CSG_V1!D:D)+SUMIF([2]ESA!A:A,A341,[2]ESA!D:D)+SUMIF([2]Accessories!A:A,A341,[2]Accessories!D:D)</f>
        <v>#VALUE!</v>
      </c>
      <c r="D341" s="9"/>
      <c r="E341" s="39" t="s">
        <v>682</v>
      </c>
      <c r="F341" s="14" t="s">
        <v>683</v>
      </c>
      <c r="G341" s="73">
        <v>1</v>
      </c>
      <c r="H341" s="22"/>
      <c r="I341" s="6" t="e">
        <f t="shared" si="16"/>
        <v>#VALUE!</v>
      </c>
      <c r="J341" s="66"/>
      <c r="K341" s="67"/>
      <c r="L341" s="67"/>
    </row>
    <row r="342" spans="1:12" ht="45">
      <c r="A342" s="4" t="s">
        <v>684</v>
      </c>
      <c r="B342" s="29" t="s">
        <v>685</v>
      </c>
      <c r="C342" s="10" t="e">
        <f>SUMIF('[2]AGGREGATION to PREAGG_Migration'!A:A,A342,'[2]AGGREGATION to PREAGG_Migration'!D:D)+SUMIF('[2]SR12E&amp;SR7_Card Expansion'!A:A,A342,'[2]SR12E&amp;SR7_Card Expansion'!D:D)+SUMIF('[2]IXR Card Expansion'!A:A,A342,'[2]IXR Card Expansion'!D:D)+SUMIF([2]PREAGG_v2_SR7B!A:A,A342,[2]PREAGG_v2_SR7B!D:D)+SUMIF([2]PREAGG_IXR_R6v2!A:A,A342,[2]PREAGG_IXR_R6v2!D:D)+SUMIF([2]CSG_V1!A:A,A342,[2]CSG_V1!D:D)+SUMIF([2]ESA!A:A,A342,[2]ESA!D:D)+SUMIF([2]Accessories!A:A,A342,[2]Accessories!D:D)</f>
        <v>#VALUE!</v>
      </c>
      <c r="D342" s="9"/>
      <c r="E342" s="39" t="s">
        <v>684</v>
      </c>
      <c r="F342" s="14" t="s">
        <v>685</v>
      </c>
      <c r="G342" s="73">
        <v>1</v>
      </c>
      <c r="H342" s="22"/>
      <c r="I342" s="6" t="e">
        <f t="shared" si="16"/>
        <v>#VALUE!</v>
      </c>
      <c r="J342" s="66"/>
      <c r="K342" s="67"/>
      <c r="L342" s="67"/>
    </row>
    <row r="343" spans="1:12">
      <c r="A343" s="4" t="s">
        <v>686</v>
      </c>
      <c r="B343" s="29" t="s">
        <v>686</v>
      </c>
      <c r="C343" s="10" t="e">
        <f>SUMIF('[2]AGGREGATION to PREAGG_Migration'!A:A,A343,'[2]AGGREGATION to PREAGG_Migration'!D:D)+SUMIF('[2]SR12E&amp;SR7_Card Expansion'!A:A,A343,'[2]SR12E&amp;SR7_Card Expansion'!D:D)+SUMIF('[2]IXR Card Expansion'!A:A,A343,'[2]IXR Card Expansion'!D:D)+SUMIF([2]PREAGG_v2_SR7B!A:A,A343,[2]PREAGG_v2_SR7B!D:D)+SUMIF([2]PREAGG_IXR_R6v2!A:A,A343,[2]PREAGG_IXR_R6v2!D:D)+SUMIF([2]CSG_V1!A:A,A343,[2]CSG_V1!D:D)+SUMIF([2]ESA!A:A,A343,[2]ESA!D:D)+SUMIF([2]Accessories!A:A,A343,[2]Accessories!D:D)</f>
        <v>#VALUE!</v>
      </c>
      <c r="D343" s="9"/>
      <c r="E343" s="39" t="s">
        <v>686</v>
      </c>
      <c r="F343" s="14" t="s">
        <v>686</v>
      </c>
      <c r="G343" s="73">
        <v>1</v>
      </c>
      <c r="H343" s="22"/>
      <c r="I343" s="6" t="e">
        <f t="shared" si="16"/>
        <v>#VALUE!</v>
      </c>
      <c r="J343" s="66"/>
      <c r="K343" s="67"/>
      <c r="L343" s="67"/>
    </row>
    <row r="344" spans="1:12">
      <c r="A344" s="4" t="s">
        <v>687</v>
      </c>
      <c r="B344" s="29" t="s">
        <v>688</v>
      </c>
      <c r="C344" s="10" t="e">
        <f>SUMIF('[2]AGGREGATION to PREAGG_Migration'!A:A,A344,'[2]AGGREGATION to PREAGG_Migration'!D:D)+SUMIF('[2]SR12E&amp;SR7_Card Expansion'!A:A,A344,'[2]SR12E&amp;SR7_Card Expansion'!D:D)+SUMIF('[2]IXR Card Expansion'!A:A,A344,'[2]IXR Card Expansion'!D:D)+SUMIF([2]PREAGG_v2_SR7B!A:A,A344,[2]PREAGG_v2_SR7B!D:D)+SUMIF([2]PREAGG_IXR_R6v2!A:A,A344,[2]PREAGG_IXR_R6v2!D:D)+SUMIF([2]CSG_V1!A:A,A344,[2]CSG_V1!D:D)+SUMIF([2]ESA!A:A,A344,[2]ESA!D:D)+SUMIF([2]Accessories!A:A,A344,[2]Accessories!D:D)</f>
        <v>#VALUE!</v>
      </c>
      <c r="D344" s="9"/>
      <c r="E344" s="39" t="s">
        <v>687</v>
      </c>
      <c r="F344" s="14" t="s">
        <v>688</v>
      </c>
      <c r="G344" s="73">
        <v>1</v>
      </c>
      <c r="H344" s="22"/>
      <c r="I344" s="6" t="e">
        <f t="shared" si="16"/>
        <v>#VALUE!</v>
      </c>
      <c r="J344" s="66"/>
      <c r="K344" s="67"/>
      <c r="L344" s="67"/>
    </row>
    <row r="345" spans="1:12" ht="30">
      <c r="A345" s="4" t="s">
        <v>689</v>
      </c>
      <c r="B345" s="29" t="s">
        <v>690</v>
      </c>
      <c r="C345" s="10" t="e">
        <f>SUMIF('[2]AGGREGATION to PREAGG_Migration'!A:A,A345,'[2]AGGREGATION to PREAGG_Migration'!D:D)+SUMIF('[2]SR12E&amp;SR7_Card Expansion'!A:A,A345,'[2]SR12E&amp;SR7_Card Expansion'!D:D)+SUMIF('[2]IXR Card Expansion'!A:A,A345,'[2]IXR Card Expansion'!D:D)+SUMIF([2]PREAGG_v2_SR7B!A:A,A345,[2]PREAGG_v2_SR7B!D:D)+SUMIF([2]PREAGG_IXR_R6v2!A:A,A345,[2]PREAGG_IXR_R6v2!D:D)+SUMIF([2]CSG_V1!A:A,A345,[2]CSG_V1!D:D)+SUMIF([2]ESA!A:A,A345,[2]ESA!D:D)+SUMIF([2]Accessories!A:A,A345,[2]Accessories!D:D)</f>
        <v>#VALUE!</v>
      </c>
      <c r="D345" s="9"/>
      <c r="E345" s="39" t="s">
        <v>689</v>
      </c>
      <c r="F345" s="14" t="s">
        <v>690</v>
      </c>
      <c r="G345" s="73">
        <v>1</v>
      </c>
      <c r="H345" s="22"/>
      <c r="I345" s="6" t="e">
        <f t="shared" si="16"/>
        <v>#VALUE!</v>
      </c>
      <c r="J345" s="66"/>
      <c r="K345" s="67"/>
      <c r="L345" s="67"/>
    </row>
    <row r="346" spans="1:12">
      <c r="J346" s="66"/>
      <c r="K346" s="67"/>
      <c r="L346" s="67"/>
    </row>
    <row r="347" spans="1:12">
      <c r="J347" s="66"/>
      <c r="K347" s="67"/>
      <c r="L347" s="67"/>
    </row>
    <row r="348" spans="1:12">
      <c r="J348" s="66"/>
      <c r="K348" s="67"/>
      <c r="L348" s="67"/>
    </row>
    <row r="349" spans="1:12">
      <c r="J349" s="66"/>
      <c r="K349" s="67"/>
      <c r="L349" s="67"/>
    </row>
    <row r="350" spans="1:12">
      <c r="J350" s="66"/>
      <c r="K350" s="67"/>
      <c r="L350" s="67"/>
    </row>
    <row r="351" spans="1:12">
      <c r="J351" s="66"/>
      <c r="K351" s="67"/>
      <c r="L351" s="67"/>
    </row>
    <row r="352" spans="1:12">
      <c r="J352" s="66"/>
      <c r="K352" s="67"/>
      <c r="L352" s="67"/>
    </row>
    <row r="353" spans="10:12">
      <c r="J353" s="66"/>
      <c r="K353" s="67"/>
      <c r="L353" s="67"/>
    </row>
    <row r="354" spans="10:12">
      <c r="J354" s="66"/>
      <c r="K354" s="67"/>
      <c r="L354" s="67"/>
    </row>
    <row r="355" spans="10:12">
      <c r="J355" s="66"/>
      <c r="K355" s="67"/>
      <c r="L355" s="67"/>
    </row>
    <row r="356" spans="10:12">
      <c r="J356" s="66"/>
      <c r="K356" s="67"/>
      <c r="L356" s="67"/>
    </row>
    <row r="357" spans="10:12">
      <c r="J357" s="66"/>
      <c r="K357" s="67"/>
      <c r="L357" s="67"/>
    </row>
    <row r="358" spans="10:12">
      <c r="J358" s="66"/>
      <c r="K358" s="67"/>
      <c r="L358" s="67"/>
    </row>
    <row r="359" spans="10:12">
      <c r="J359" s="66"/>
      <c r="K359" s="67"/>
      <c r="L359" s="67"/>
    </row>
    <row r="360" spans="10:12">
      <c r="J360" s="66"/>
      <c r="K360" s="67"/>
      <c r="L360" s="67"/>
    </row>
    <row r="361" spans="10:12">
      <c r="J361" s="66"/>
      <c r="K361" s="67"/>
      <c r="L361" s="67"/>
    </row>
    <row r="362" spans="10:12">
      <c r="J362" s="66"/>
      <c r="K362" s="67"/>
      <c r="L362" s="67"/>
    </row>
    <row r="363" spans="10:12">
      <c r="J363" s="66"/>
      <c r="K363" s="67"/>
      <c r="L363" s="67"/>
    </row>
    <row r="364" spans="10:12">
      <c r="J364" s="66"/>
      <c r="K364" s="67"/>
      <c r="L364" s="67"/>
    </row>
    <row r="365" spans="10:12">
      <c r="J365" s="66"/>
      <c r="K365" s="67"/>
      <c r="L365" s="67"/>
    </row>
    <row r="366" spans="10:12">
      <c r="J366" s="66"/>
      <c r="K366" s="67"/>
      <c r="L366" s="67"/>
    </row>
    <row r="367" spans="10:12">
      <c r="J367" s="66"/>
      <c r="K367" s="67"/>
      <c r="L367" s="67"/>
    </row>
    <row r="368" spans="10:12">
      <c r="J368" s="66"/>
      <c r="K368" s="67"/>
      <c r="L368" s="67"/>
    </row>
    <row r="369" spans="10:12">
      <c r="J369" s="66"/>
      <c r="K369" s="67"/>
      <c r="L369" s="67"/>
    </row>
    <row r="370" spans="10:12">
      <c r="J370" s="66"/>
      <c r="K370" s="67"/>
      <c r="L370" s="67"/>
    </row>
    <row r="371" spans="10:12">
      <c r="J371" s="66"/>
      <c r="K371" s="67"/>
      <c r="L371" s="67"/>
    </row>
    <row r="372" spans="10:12">
      <c r="J372" s="66"/>
      <c r="K372" s="67"/>
      <c r="L372" s="67"/>
    </row>
  </sheetData>
  <mergeCells count="160">
    <mergeCell ref="H114:H116"/>
    <mergeCell ref="A117:A120"/>
    <mergeCell ref="B117:B120"/>
    <mergeCell ref="C117:C120"/>
    <mergeCell ref="D117:D120"/>
    <mergeCell ref="H117:H120"/>
    <mergeCell ref="A121:A122"/>
    <mergeCell ref="B121:B122"/>
    <mergeCell ref="C121:C122"/>
    <mergeCell ref="D121:D122"/>
    <mergeCell ref="H121:H122"/>
    <mergeCell ref="A114:A116"/>
    <mergeCell ref="B114:B116"/>
    <mergeCell ref="C114:C116"/>
    <mergeCell ref="D114:D116"/>
    <mergeCell ref="A2:A7"/>
    <mergeCell ref="B2:B7"/>
    <mergeCell ref="C2:C7"/>
    <mergeCell ref="D2:D7"/>
    <mergeCell ref="H2:H7"/>
    <mergeCell ref="A8:A13"/>
    <mergeCell ref="B8:B13"/>
    <mergeCell ref="C8:C13"/>
    <mergeCell ref="D8:D13"/>
    <mergeCell ref="H8:H13"/>
    <mergeCell ref="A14:A18"/>
    <mergeCell ref="B14:B18"/>
    <mergeCell ref="C14:C18"/>
    <mergeCell ref="D14:D18"/>
    <mergeCell ref="A22:A24"/>
    <mergeCell ref="B22:B24"/>
    <mergeCell ref="C22:C24"/>
    <mergeCell ref="D22:D24"/>
    <mergeCell ref="H22:H24"/>
    <mergeCell ref="H14:H18"/>
    <mergeCell ref="A19:A21"/>
    <mergeCell ref="B19:B21"/>
    <mergeCell ref="C19:C21"/>
    <mergeCell ref="D19:D21"/>
    <mergeCell ref="H19:H21"/>
    <mergeCell ref="A25:A26"/>
    <mergeCell ref="B25:B26"/>
    <mergeCell ref="C25:C26"/>
    <mergeCell ref="D25:D26"/>
    <mergeCell ref="H25:H26"/>
    <mergeCell ref="A27:A28"/>
    <mergeCell ref="B27:B28"/>
    <mergeCell ref="C27:C28"/>
    <mergeCell ref="D27:D28"/>
    <mergeCell ref="H27:H28"/>
    <mergeCell ref="A29:A32"/>
    <mergeCell ref="B29:B32"/>
    <mergeCell ref="C29:C32"/>
    <mergeCell ref="D29:D32"/>
    <mergeCell ref="H29:H32"/>
    <mergeCell ref="A33:A34"/>
    <mergeCell ref="B33:B34"/>
    <mergeCell ref="C33:C34"/>
    <mergeCell ref="D33:D34"/>
    <mergeCell ref="H33:H34"/>
    <mergeCell ref="A52:A55"/>
    <mergeCell ref="B52:B55"/>
    <mergeCell ref="C52:C55"/>
    <mergeCell ref="D52:D55"/>
    <mergeCell ref="H52:H55"/>
    <mergeCell ref="A56:A58"/>
    <mergeCell ref="B56:B58"/>
    <mergeCell ref="C56:C58"/>
    <mergeCell ref="D56:D58"/>
    <mergeCell ref="H56:H58"/>
    <mergeCell ref="A59:A62"/>
    <mergeCell ref="B59:B62"/>
    <mergeCell ref="C59:C62"/>
    <mergeCell ref="D59:D62"/>
    <mergeCell ref="H59:H62"/>
    <mergeCell ref="A63:A67"/>
    <mergeCell ref="B63:B67"/>
    <mergeCell ref="C63:C67"/>
    <mergeCell ref="D63:D67"/>
    <mergeCell ref="H63:H67"/>
    <mergeCell ref="A77:A89"/>
    <mergeCell ref="B77:B89"/>
    <mergeCell ref="C77:C89"/>
    <mergeCell ref="D77:D89"/>
    <mergeCell ref="H77:H89"/>
    <mergeCell ref="A90:A99"/>
    <mergeCell ref="B90:B99"/>
    <mergeCell ref="C90:C99"/>
    <mergeCell ref="D90:D99"/>
    <mergeCell ref="H90:H99"/>
    <mergeCell ref="A100:A110"/>
    <mergeCell ref="B100:B110"/>
    <mergeCell ref="C100:C110"/>
    <mergeCell ref="D100:D110"/>
    <mergeCell ref="H100:H110"/>
    <mergeCell ref="A111:A113"/>
    <mergeCell ref="B111:B113"/>
    <mergeCell ref="C111:C113"/>
    <mergeCell ref="D111:D113"/>
    <mergeCell ref="H111:H113"/>
    <mergeCell ref="A123:A124"/>
    <mergeCell ref="B123:B124"/>
    <mergeCell ref="C123:C124"/>
    <mergeCell ref="D123:D124"/>
    <mergeCell ref="H123:H124"/>
    <mergeCell ref="A127:A128"/>
    <mergeCell ref="B127:B128"/>
    <mergeCell ref="C127:C128"/>
    <mergeCell ref="D127:D128"/>
    <mergeCell ref="H127:H128"/>
    <mergeCell ref="A135:A143"/>
    <mergeCell ref="B135:B143"/>
    <mergeCell ref="C135:C143"/>
    <mergeCell ref="D135:D143"/>
    <mergeCell ref="H135:H143"/>
    <mergeCell ref="A144:A150"/>
    <mergeCell ref="B144:B150"/>
    <mergeCell ref="C144:C150"/>
    <mergeCell ref="D144:D150"/>
    <mergeCell ref="H144:H150"/>
    <mergeCell ref="A151:A157"/>
    <mergeCell ref="B151:B157"/>
    <mergeCell ref="C151:C157"/>
    <mergeCell ref="D151:D157"/>
    <mergeCell ref="H151:H157"/>
    <mergeCell ref="A158:A163"/>
    <mergeCell ref="B158:B163"/>
    <mergeCell ref="C158:C163"/>
    <mergeCell ref="D158:D163"/>
    <mergeCell ref="H158:H163"/>
    <mergeCell ref="A166:A172"/>
    <mergeCell ref="B166:B172"/>
    <mergeCell ref="C166:C172"/>
    <mergeCell ref="D166:D172"/>
    <mergeCell ref="H166:H172"/>
    <mergeCell ref="A173:A179"/>
    <mergeCell ref="B173:B179"/>
    <mergeCell ref="C173:C179"/>
    <mergeCell ref="D173:D179"/>
    <mergeCell ref="H173:H179"/>
    <mergeCell ref="A180:A183"/>
    <mergeCell ref="B180:B184"/>
    <mergeCell ref="C180:C184"/>
    <mergeCell ref="D180:D184"/>
    <mergeCell ref="H180:H184"/>
    <mergeCell ref="A209:A210"/>
    <mergeCell ref="B209:B210"/>
    <mergeCell ref="C209:C210"/>
    <mergeCell ref="D209:D210"/>
    <mergeCell ref="H209:H210"/>
    <mergeCell ref="A211:A213"/>
    <mergeCell ref="B211:B213"/>
    <mergeCell ref="C211:C213"/>
    <mergeCell ref="D211:D213"/>
    <mergeCell ref="H211:H213"/>
    <mergeCell ref="A229:A235"/>
    <mergeCell ref="B229:B235"/>
    <mergeCell ref="C229:C235"/>
    <mergeCell ref="D229:D235"/>
    <mergeCell ref="H229:H235"/>
  </mergeCells>
  <conditionalFormatting sqref="A35">
    <cfRule type="duplicateValues" dxfId="49" priority="31"/>
  </conditionalFormatting>
  <conditionalFormatting sqref="A35:A51">
    <cfRule type="duplicateValues" dxfId="48" priority="32"/>
  </conditionalFormatting>
  <conditionalFormatting sqref="A36">
    <cfRule type="duplicateValues" dxfId="47" priority="24"/>
  </conditionalFormatting>
  <conditionalFormatting sqref="A37">
    <cfRule type="duplicateValues" dxfId="46" priority="23"/>
  </conditionalFormatting>
  <conditionalFormatting sqref="A39">
    <cfRule type="duplicateValues" dxfId="45" priority="25"/>
  </conditionalFormatting>
  <conditionalFormatting sqref="A188">
    <cfRule type="duplicateValues" dxfId="44" priority="21"/>
  </conditionalFormatting>
  <conditionalFormatting sqref="A246">
    <cfRule type="duplicateValues" dxfId="43" priority="28"/>
  </conditionalFormatting>
  <conditionalFormatting sqref="A164:B165">
    <cfRule type="duplicateValues" dxfId="42" priority="29"/>
  </conditionalFormatting>
  <conditionalFormatting sqref="A236:B236">
    <cfRule type="duplicateValues" dxfId="41" priority="27"/>
  </conditionalFormatting>
  <conditionalFormatting sqref="A237:B238">
    <cfRule type="duplicateValues" dxfId="40" priority="19"/>
  </conditionalFormatting>
  <conditionalFormatting sqref="A239:B245 A229 A185:B187 A214:B228 A189:B204">
    <cfRule type="duplicateValues" dxfId="39" priority="30"/>
  </conditionalFormatting>
  <conditionalFormatting sqref="B188">
    <cfRule type="duplicateValues" dxfId="38" priority="20"/>
  </conditionalFormatting>
  <conditionalFormatting sqref="B246">
    <cfRule type="duplicateValues" dxfId="37" priority="22"/>
  </conditionalFormatting>
  <conditionalFormatting sqref="B284">
    <cfRule type="duplicateValues" dxfId="36" priority="26"/>
  </conditionalFormatting>
  <conditionalFormatting sqref="B291:B298">
    <cfRule type="duplicateValues" dxfId="35" priority="33"/>
  </conditionalFormatting>
  <conditionalFormatting sqref="B299:B305">
    <cfRule type="duplicateValues" dxfId="34" priority="34"/>
  </conditionalFormatting>
  <conditionalFormatting sqref="D237:D238">
    <cfRule type="duplicateValues" dxfId="33" priority="35"/>
  </conditionalFormatting>
  <conditionalFormatting sqref="E35">
    <cfRule type="duplicateValues" dxfId="32" priority="15"/>
  </conditionalFormatting>
  <conditionalFormatting sqref="E35:E51">
    <cfRule type="duplicateValues" dxfId="31" priority="16"/>
  </conditionalFormatting>
  <conditionalFormatting sqref="E36">
    <cfRule type="duplicateValues" dxfId="30" priority="7"/>
  </conditionalFormatting>
  <conditionalFormatting sqref="E37">
    <cfRule type="duplicateValues" dxfId="29" priority="6"/>
  </conditionalFormatting>
  <conditionalFormatting sqref="E39">
    <cfRule type="duplicateValues" dxfId="28" priority="8"/>
  </conditionalFormatting>
  <conditionalFormatting sqref="E188">
    <cfRule type="duplicateValues" dxfId="27" priority="3"/>
  </conditionalFormatting>
  <conditionalFormatting sqref="E237:E238">
    <cfRule type="duplicateValues" dxfId="26" priority="5"/>
  </conditionalFormatting>
  <conditionalFormatting sqref="F188">
    <cfRule type="duplicateValues" dxfId="25" priority="2"/>
  </conditionalFormatting>
  <conditionalFormatting sqref="F207:F208">
    <cfRule type="duplicateValues" dxfId="24" priority="1"/>
  </conditionalFormatting>
  <conditionalFormatting sqref="F236">
    <cfRule type="duplicateValues" dxfId="23" priority="14"/>
    <cfRule type="duplicateValues" dxfId="22" priority="13"/>
    <cfRule type="duplicateValues" dxfId="21" priority="12"/>
  </conditionalFormatting>
  <conditionalFormatting sqref="F237:F238">
    <cfRule type="duplicateValues" dxfId="20" priority="4"/>
  </conditionalFormatting>
  <conditionalFormatting sqref="F239">
    <cfRule type="duplicateValues" dxfId="19" priority="11"/>
  </conditionalFormatting>
  <conditionalFormatting sqref="F284">
    <cfRule type="duplicateValues" dxfId="18" priority="10"/>
  </conditionalFormatting>
  <conditionalFormatting sqref="F291:F298">
    <cfRule type="duplicateValues" dxfId="17" priority="17"/>
  </conditionalFormatting>
  <conditionalFormatting sqref="F299:F305">
    <cfRule type="duplicateValues" dxfId="16" priority="18"/>
  </conditionalFormatting>
  <conditionalFormatting sqref="F306:F345">
    <cfRule type="duplicateValues" dxfId="15" priority="9"/>
  </conditionalFormatting>
  <dataValidations count="1">
    <dataValidation allowBlank="1" showInputMessage="1" showErrorMessage="1" sqref="G137:G141 A76:B76 A238 A132:B133 A130:B130 E20:E24 E132:E133 E122 E28 E86:E94 E26 E56:E59 E151:E156 E61:E67 E52:E54 E115:E120 E105 E76:F76 E159:E163 E216:E218 E97:E102 E222 E226:E228 E145:E149 E137:E142 E212 E214 E2:E18 E31:E34 E107:E113 E238 E130 E165:E184 E83:E84" xr:uid="{01A43C6A-BE00-4554-A9BD-AFE4B74DC673}"/>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C333-9BDC-4517-96BC-C72EE3173E28}">
  <dimension ref="A1:F220"/>
  <sheetViews>
    <sheetView topLeftCell="A137" zoomScale="125" zoomScaleNormal="125" workbookViewId="0">
      <selection activeCell="A146" sqref="A146"/>
    </sheetView>
  </sheetViews>
  <sheetFormatPr defaultRowHeight="15"/>
  <cols>
    <col min="1" max="1" width="59.42578125" style="4" customWidth="1"/>
    <col min="2" max="2" width="75.28515625" style="4" customWidth="1"/>
    <col min="3" max="3" width="14.28515625" style="69" bestFit="1" customWidth="1"/>
    <col min="4" max="4" width="21.140625" hidden="1" customWidth="1"/>
    <col min="5" max="5" width="59.42578125" style="4" hidden="1" customWidth="1"/>
    <col min="6" max="6" width="10.140625" bestFit="1" customWidth="1"/>
  </cols>
  <sheetData>
    <row r="1" spans="1:5">
      <c r="A1" s="68" t="s">
        <v>793</v>
      </c>
      <c r="B1" s="68" t="s">
        <v>794</v>
      </c>
      <c r="C1" s="68" t="s">
        <v>795</v>
      </c>
      <c r="D1" s="68" t="s">
        <v>796</v>
      </c>
      <c r="E1" s="68" t="s">
        <v>793</v>
      </c>
    </row>
    <row r="2" spans="1:5" ht="105">
      <c r="A2" s="70" t="s">
        <v>186</v>
      </c>
      <c r="B2" s="14" t="s">
        <v>187</v>
      </c>
      <c r="C2" s="66">
        <v>100000</v>
      </c>
      <c r="D2">
        <v>3013258069</v>
      </c>
      <c r="E2" s="70" t="s">
        <v>186</v>
      </c>
    </row>
    <row r="3" spans="1:5" ht="105">
      <c r="A3" s="70" t="s">
        <v>200</v>
      </c>
      <c r="B3" s="14" t="s">
        <v>201</v>
      </c>
      <c r="C3" s="66">
        <v>90000</v>
      </c>
      <c r="D3">
        <v>3031328909</v>
      </c>
      <c r="E3" s="70" t="s">
        <v>200</v>
      </c>
    </row>
    <row r="4" spans="1:5" ht="90">
      <c r="A4" s="70" t="s">
        <v>205</v>
      </c>
      <c r="B4" s="14" t="s">
        <v>206</v>
      </c>
      <c r="C4" s="66">
        <v>75000</v>
      </c>
      <c r="D4">
        <v>3063372685</v>
      </c>
      <c r="E4" s="70" t="s">
        <v>205</v>
      </c>
    </row>
    <row r="5" spans="1:5" ht="90">
      <c r="A5" s="70" t="s">
        <v>215</v>
      </c>
      <c r="B5" s="14" t="s">
        <v>216</v>
      </c>
      <c r="C5" s="66">
        <v>44000</v>
      </c>
      <c r="D5">
        <v>3073693538</v>
      </c>
      <c r="E5" s="70" t="s">
        <v>215</v>
      </c>
    </row>
    <row r="6" spans="1:5" ht="90">
      <c r="A6" s="70" t="s">
        <v>223</v>
      </c>
      <c r="B6" s="14" t="s">
        <v>224</v>
      </c>
      <c r="C6" s="66">
        <v>30117.360000000001</v>
      </c>
      <c r="D6">
        <v>3062610663</v>
      </c>
      <c r="E6" s="70" t="s">
        <v>223</v>
      </c>
    </row>
    <row r="7" spans="1:5" ht="60">
      <c r="A7" s="70" t="s">
        <v>226</v>
      </c>
      <c r="B7" s="14" t="s">
        <v>227</v>
      </c>
      <c r="C7" s="66">
        <v>36520</v>
      </c>
      <c r="D7" s="6">
        <v>3076787939</v>
      </c>
      <c r="E7" s="70" t="s">
        <v>226</v>
      </c>
    </row>
    <row r="8" spans="1:5" ht="60">
      <c r="A8" s="70" t="s">
        <v>230</v>
      </c>
      <c r="B8" s="14" t="s">
        <v>231</v>
      </c>
      <c r="C8" s="66">
        <v>22657.200000000001</v>
      </c>
      <c r="D8" s="6">
        <v>3093678645</v>
      </c>
      <c r="E8" s="70" t="s">
        <v>230</v>
      </c>
    </row>
    <row r="9" spans="1:5" ht="120">
      <c r="A9" s="70" t="s">
        <v>234</v>
      </c>
      <c r="B9" s="14" t="s">
        <v>797</v>
      </c>
      <c r="C9" s="66">
        <v>27500</v>
      </c>
      <c r="D9">
        <v>3065765496</v>
      </c>
      <c r="E9" s="70" t="s">
        <v>234</v>
      </c>
    </row>
    <row r="10" spans="1:5" ht="60">
      <c r="A10" s="70" t="s">
        <v>242</v>
      </c>
      <c r="B10" s="14" t="s">
        <v>243</v>
      </c>
      <c r="C10" s="66">
        <v>13860</v>
      </c>
      <c r="D10" s="6">
        <v>3071025782</v>
      </c>
      <c r="E10" s="70" t="s">
        <v>242</v>
      </c>
    </row>
    <row r="11" spans="1:5">
      <c r="A11" s="70" t="s">
        <v>248</v>
      </c>
      <c r="B11" s="14" t="s">
        <v>249</v>
      </c>
      <c r="C11" s="66">
        <v>40000</v>
      </c>
      <c r="D11">
        <v>3085299903</v>
      </c>
      <c r="E11" s="70" t="s">
        <v>248</v>
      </c>
    </row>
    <row r="12" spans="1:5">
      <c r="A12" s="70" t="s">
        <v>250</v>
      </c>
      <c r="B12" s="14" t="s">
        <v>251</v>
      </c>
      <c r="C12" s="66">
        <v>30000.000000000007</v>
      </c>
      <c r="D12">
        <v>3085522104</v>
      </c>
      <c r="E12" s="70" t="s">
        <v>250</v>
      </c>
    </row>
    <row r="13" spans="1:5">
      <c r="A13" s="70" t="s">
        <v>252</v>
      </c>
      <c r="B13" s="14" t="s">
        <v>253</v>
      </c>
      <c r="C13" s="66">
        <v>26000.000000000004</v>
      </c>
      <c r="D13">
        <v>3011417115</v>
      </c>
      <c r="E13" s="70" t="s">
        <v>252</v>
      </c>
    </row>
    <row r="14" spans="1:5">
      <c r="A14" s="70" t="s">
        <v>254</v>
      </c>
      <c r="B14" s="14" t="s">
        <v>255</v>
      </c>
      <c r="C14" s="66">
        <v>43999.999999999993</v>
      </c>
      <c r="D14">
        <v>3044071677</v>
      </c>
      <c r="E14" s="70" t="s">
        <v>254</v>
      </c>
    </row>
    <row r="15" spans="1:5">
      <c r="A15" s="70" t="s">
        <v>256</v>
      </c>
      <c r="B15" s="14" t="s">
        <v>257</v>
      </c>
      <c r="C15" s="66">
        <v>29999.999999999993</v>
      </c>
      <c r="D15">
        <v>3093022675</v>
      </c>
      <c r="E15" s="70" t="s">
        <v>256</v>
      </c>
    </row>
    <row r="16" spans="1:5">
      <c r="A16" s="70" t="s">
        <v>258</v>
      </c>
      <c r="B16" s="14" t="s">
        <v>259</v>
      </c>
      <c r="C16" s="66">
        <v>47999.999999999993</v>
      </c>
      <c r="D16">
        <v>3010409766</v>
      </c>
      <c r="E16" s="70" t="s">
        <v>258</v>
      </c>
    </row>
    <row r="17" spans="1:5">
      <c r="A17" s="70" t="s">
        <v>260</v>
      </c>
      <c r="B17" s="14" t="s">
        <v>261</v>
      </c>
      <c r="C17" s="66">
        <v>26000.000000000022</v>
      </c>
      <c r="D17" s="6" t="e">
        <v>#N/A</v>
      </c>
      <c r="E17" s="70" t="s">
        <v>260</v>
      </c>
    </row>
    <row r="18" spans="1:5">
      <c r="A18" s="70" t="s">
        <v>262</v>
      </c>
      <c r="B18" s="14" t="s">
        <v>263</v>
      </c>
      <c r="C18" s="66">
        <v>24000.000000000018</v>
      </c>
      <c r="D18">
        <v>3010866762</v>
      </c>
      <c r="E18" s="70" t="s">
        <v>262</v>
      </c>
    </row>
    <row r="19" spans="1:5">
      <c r="A19" s="70" t="s">
        <v>264</v>
      </c>
      <c r="B19" s="14" t="s">
        <v>197</v>
      </c>
      <c r="C19" s="66">
        <v>11600</v>
      </c>
      <c r="D19">
        <v>3068077766</v>
      </c>
      <c r="E19" s="70" t="s">
        <v>264</v>
      </c>
    </row>
    <row r="20" spans="1:5">
      <c r="A20" s="70" t="s">
        <v>213</v>
      </c>
      <c r="B20" s="14" t="s">
        <v>214</v>
      </c>
      <c r="C20" s="66">
        <v>14000</v>
      </c>
      <c r="D20">
        <v>3087565806</v>
      </c>
      <c r="E20" s="70" t="s">
        <v>213</v>
      </c>
    </row>
    <row r="21" spans="1:5">
      <c r="A21" s="70" t="s">
        <v>198</v>
      </c>
      <c r="B21" s="14" t="s">
        <v>199</v>
      </c>
      <c r="C21" s="66">
        <v>59250.000000000051</v>
      </c>
      <c r="D21">
        <v>3074418269</v>
      </c>
      <c r="E21" s="70" t="s">
        <v>198</v>
      </c>
    </row>
    <row r="22" spans="1:5">
      <c r="A22" s="70" t="s">
        <v>203</v>
      </c>
      <c r="B22" s="14" t="s">
        <v>204</v>
      </c>
      <c r="C22" s="66">
        <v>32000.000000000029</v>
      </c>
      <c r="D22">
        <v>3022852775</v>
      </c>
      <c r="E22" s="70" t="s">
        <v>203</v>
      </c>
    </row>
    <row r="23" spans="1:5">
      <c r="A23" s="70" t="s">
        <v>265</v>
      </c>
      <c r="B23" s="14" t="s">
        <v>266</v>
      </c>
      <c r="C23" s="66">
        <v>8500.0000000000091</v>
      </c>
      <c r="D23">
        <v>3088379579</v>
      </c>
      <c r="E23" s="70" t="s">
        <v>265</v>
      </c>
    </row>
    <row r="24" spans="1:5">
      <c r="A24" s="70" t="s">
        <v>232</v>
      </c>
      <c r="B24" s="14" t="s">
        <v>229</v>
      </c>
      <c r="C24" s="66">
        <v>17250.000000000015</v>
      </c>
      <c r="D24">
        <v>3070977509</v>
      </c>
      <c r="E24" s="70" t="s">
        <v>232</v>
      </c>
    </row>
    <row r="25" spans="1:5">
      <c r="A25" s="70" t="s">
        <v>236</v>
      </c>
      <c r="B25" s="14" t="s">
        <v>237</v>
      </c>
      <c r="C25" s="66">
        <v>16750.000000000015</v>
      </c>
      <c r="D25">
        <v>3086323707</v>
      </c>
      <c r="E25" s="70" t="s">
        <v>236</v>
      </c>
    </row>
    <row r="26" spans="1:5">
      <c r="A26" s="70" t="s">
        <v>267</v>
      </c>
      <c r="B26" s="14" t="s">
        <v>268</v>
      </c>
      <c r="C26" s="66">
        <v>8500.0000000000073</v>
      </c>
      <c r="D26">
        <v>3040867359</v>
      </c>
      <c r="E26" s="70" t="s">
        <v>267</v>
      </c>
    </row>
    <row r="27" spans="1:5">
      <c r="A27" s="70" t="s">
        <v>225</v>
      </c>
      <c r="B27" s="14" t="s">
        <v>218</v>
      </c>
      <c r="C27" s="66">
        <v>16750.000000000015</v>
      </c>
      <c r="D27">
        <v>3056682874</v>
      </c>
      <c r="E27" s="70" t="s">
        <v>225</v>
      </c>
    </row>
    <row r="28" spans="1:5" ht="105">
      <c r="A28" s="70" t="s">
        <v>269</v>
      </c>
      <c r="B28" s="14" t="s">
        <v>270</v>
      </c>
      <c r="C28" s="66">
        <v>70584.291000000012</v>
      </c>
      <c r="D28">
        <v>3086200344</v>
      </c>
      <c r="E28" s="70" t="s">
        <v>269</v>
      </c>
    </row>
    <row r="29" spans="1:5" ht="90">
      <c r="A29" s="70" t="s">
        <v>275</v>
      </c>
      <c r="B29" s="14" t="s">
        <v>276</v>
      </c>
      <c r="C29" s="66">
        <v>18196.079999999998</v>
      </c>
      <c r="D29">
        <v>3021402263</v>
      </c>
      <c r="E29" s="70" t="s">
        <v>275</v>
      </c>
    </row>
    <row r="30" spans="1:5" ht="120">
      <c r="A30" s="70" t="s">
        <v>281</v>
      </c>
      <c r="B30" s="14" t="s">
        <v>798</v>
      </c>
      <c r="C30" s="66">
        <v>17004</v>
      </c>
      <c r="D30">
        <v>3046558993</v>
      </c>
      <c r="E30" s="70" t="s">
        <v>281</v>
      </c>
    </row>
    <row r="31" spans="1:5" ht="135">
      <c r="A31" s="70" t="s">
        <v>285</v>
      </c>
      <c r="B31" s="14" t="s">
        <v>286</v>
      </c>
      <c r="C31" s="66">
        <v>40002.371199999994</v>
      </c>
      <c r="D31">
        <v>3050618316</v>
      </c>
      <c r="E31" s="70" t="s">
        <v>285</v>
      </c>
    </row>
    <row r="32" spans="1:5">
      <c r="A32" s="70" t="s">
        <v>271</v>
      </c>
      <c r="B32" s="14" t="s">
        <v>272</v>
      </c>
      <c r="C32" s="66">
        <v>28500</v>
      </c>
      <c r="D32" s="6">
        <v>3011729542</v>
      </c>
      <c r="E32" s="70" t="s">
        <v>271</v>
      </c>
    </row>
    <row r="33" spans="1:5">
      <c r="A33" s="70" t="s">
        <v>289</v>
      </c>
      <c r="B33" s="14" t="s">
        <v>290</v>
      </c>
      <c r="C33" s="66">
        <v>27000</v>
      </c>
      <c r="D33">
        <v>3040403027</v>
      </c>
      <c r="E33" s="70" t="s">
        <v>289</v>
      </c>
    </row>
    <row r="34" spans="1:5">
      <c r="A34" s="70" t="s">
        <v>291</v>
      </c>
      <c r="B34" s="14" t="s">
        <v>292</v>
      </c>
      <c r="C34" s="66">
        <v>28800</v>
      </c>
      <c r="D34">
        <v>3038936149</v>
      </c>
      <c r="E34" s="70" t="s">
        <v>291</v>
      </c>
    </row>
    <row r="35" spans="1:5">
      <c r="A35" s="70" t="s">
        <v>273</v>
      </c>
      <c r="B35" s="14" t="s">
        <v>274</v>
      </c>
      <c r="C35" s="66">
        <v>28560</v>
      </c>
      <c r="D35" s="6">
        <v>3026927345</v>
      </c>
      <c r="E35" s="70" t="s">
        <v>273</v>
      </c>
    </row>
    <row r="36" spans="1:5">
      <c r="A36" s="70" t="s">
        <v>287</v>
      </c>
      <c r="B36" s="14" t="s">
        <v>288</v>
      </c>
      <c r="C36" s="66">
        <v>20400</v>
      </c>
      <c r="D36">
        <v>3029295636</v>
      </c>
      <c r="E36" s="70" t="s">
        <v>287</v>
      </c>
    </row>
    <row r="37" spans="1:5">
      <c r="A37" s="70" t="s">
        <v>283</v>
      </c>
      <c r="B37" s="14" t="s">
        <v>284</v>
      </c>
      <c r="C37" s="66">
        <v>21600</v>
      </c>
      <c r="D37">
        <v>3050506911</v>
      </c>
      <c r="E37" s="70" t="s">
        <v>283</v>
      </c>
    </row>
    <row r="38" spans="1:5">
      <c r="A38" s="70" t="s">
        <v>277</v>
      </c>
      <c r="B38" s="14" t="s">
        <v>278</v>
      </c>
      <c r="C38" s="66">
        <v>19200</v>
      </c>
      <c r="D38">
        <v>3072847588</v>
      </c>
      <c r="E38" s="70" t="s">
        <v>277</v>
      </c>
    </row>
    <row r="39" spans="1:5">
      <c r="A39" s="70" t="s">
        <v>293</v>
      </c>
      <c r="B39" s="14" t="s">
        <v>294</v>
      </c>
      <c r="C39" s="66">
        <v>20000</v>
      </c>
      <c r="D39">
        <v>3095894942</v>
      </c>
      <c r="E39" s="70" t="s">
        <v>293</v>
      </c>
    </row>
    <row r="40" spans="1:5">
      <c r="A40" s="70" t="s">
        <v>296</v>
      </c>
      <c r="B40" s="82" t="s">
        <v>297</v>
      </c>
      <c r="C40" s="66">
        <v>125</v>
      </c>
      <c r="D40">
        <v>3083523407</v>
      </c>
      <c r="E40" s="70" t="s">
        <v>296</v>
      </c>
    </row>
    <row r="41" spans="1:5" ht="300">
      <c r="A41" s="70" t="s">
        <v>298</v>
      </c>
      <c r="B41" s="14" t="s">
        <v>799</v>
      </c>
      <c r="C41" s="66">
        <v>43400</v>
      </c>
      <c r="D41">
        <v>3014950070</v>
      </c>
      <c r="E41" s="70" t="s">
        <v>298</v>
      </c>
    </row>
    <row r="42" spans="1:5" ht="255">
      <c r="A42" s="70" t="s">
        <v>320</v>
      </c>
      <c r="B42" s="14" t="s">
        <v>800</v>
      </c>
      <c r="C42" s="66">
        <v>26987.980000000003</v>
      </c>
      <c r="D42">
        <v>3039441163</v>
      </c>
      <c r="E42" s="70" t="s">
        <v>320</v>
      </c>
    </row>
    <row r="43" spans="1:5" ht="270">
      <c r="A43" s="70" t="s">
        <v>330</v>
      </c>
      <c r="B43" s="14" t="s">
        <v>801</v>
      </c>
      <c r="C43" s="66">
        <v>25393.96</v>
      </c>
      <c r="D43">
        <v>3089586518</v>
      </c>
      <c r="E43" s="70" t="s">
        <v>330</v>
      </c>
    </row>
    <row r="44" spans="1:5" ht="90">
      <c r="A44" s="70" t="s">
        <v>334</v>
      </c>
      <c r="B44" s="14" t="s">
        <v>802</v>
      </c>
      <c r="C44" s="66">
        <v>10351.599999999999</v>
      </c>
      <c r="D44">
        <v>3095178703</v>
      </c>
      <c r="E44" s="70" t="s">
        <v>334</v>
      </c>
    </row>
    <row r="45" spans="1:5" ht="90">
      <c r="A45" s="70" t="s">
        <v>337</v>
      </c>
      <c r="B45" s="14" t="s">
        <v>338</v>
      </c>
      <c r="C45" s="66">
        <v>7576</v>
      </c>
      <c r="D45">
        <v>3017285195</v>
      </c>
      <c r="E45" s="70" t="s">
        <v>337</v>
      </c>
    </row>
    <row r="46" spans="1:5" ht="120">
      <c r="A46" s="70" t="s">
        <v>339</v>
      </c>
      <c r="B46" s="14" t="s">
        <v>803</v>
      </c>
      <c r="C46" s="66">
        <v>11592</v>
      </c>
      <c r="D46">
        <v>3063075304</v>
      </c>
      <c r="E46" s="70" t="s">
        <v>339</v>
      </c>
    </row>
    <row r="47" spans="1:5" ht="60">
      <c r="A47" s="70" t="s">
        <v>341</v>
      </c>
      <c r="B47" s="14" t="s">
        <v>342</v>
      </c>
      <c r="C47" s="66">
        <v>7598</v>
      </c>
      <c r="D47" s="6">
        <v>3079190070</v>
      </c>
      <c r="E47" s="70" t="s">
        <v>341</v>
      </c>
    </row>
    <row r="48" spans="1:5" ht="75">
      <c r="A48" s="70" t="s">
        <v>343</v>
      </c>
      <c r="B48" s="14" t="s">
        <v>344</v>
      </c>
      <c r="C48" s="66">
        <v>63000</v>
      </c>
      <c r="D48" s="6">
        <v>3084370884</v>
      </c>
      <c r="E48" s="70" t="s">
        <v>343</v>
      </c>
    </row>
    <row r="49" spans="1:5">
      <c r="A49" s="70" t="s">
        <v>308</v>
      </c>
      <c r="B49" s="14" t="s">
        <v>309</v>
      </c>
      <c r="C49" s="66">
        <v>8550</v>
      </c>
      <c r="D49">
        <v>3085683030</v>
      </c>
      <c r="E49" s="70" t="s">
        <v>308</v>
      </c>
    </row>
    <row r="50" spans="1:5">
      <c r="A50" s="70" t="s">
        <v>345</v>
      </c>
      <c r="B50" s="14" t="s">
        <v>346</v>
      </c>
      <c r="C50" s="66">
        <v>19000</v>
      </c>
      <c r="D50">
        <v>3037284986</v>
      </c>
      <c r="E50" s="70" t="s">
        <v>345</v>
      </c>
    </row>
    <row r="51" spans="1:5" ht="30">
      <c r="A51" s="70" t="s">
        <v>347</v>
      </c>
      <c r="B51" s="14" t="s">
        <v>348</v>
      </c>
      <c r="C51" s="66">
        <v>7000</v>
      </c>
      <c r="D51" s="6">
        <v>3083623617</v>
      </c>
      <c r="E51" s="70" t="s">
        <v>347</v>
      </c>
    </row>
    <row r="52" spans="1:5">
      <c r="A52" s="70" t="s">
        <v>312</v>
      </c>
      <c r="B52" s="14" t="s">
        <v>313</v>
      </c>
      <c r="C52" s="66">
        <v>11875</v>
      </c>
      <c r="D52">
        <v>3061617488</v>
      </c>
      <c r="E52" s="70" t="s">
        <v>312</v>
      </c>
    </row>
    <row r="53" spans="1:5">
      <c r="A53" s="70" t="s">
        <v>332</v>
      </c>
      <c r="B53" s="14" t="s">
        <v>333</v>
      </c>
      <c r="C53" s="66">
        <v>6080</v>
      </c>
      <c r="D53">
        <v>3083292507</v>
      </c>
      <c r="E53" s="70" t="s">
        <v>332</v>
      </c>
    </row>
    <row r="54" spans="1:5">
      <c r="A54" s="70" t="s">
        <v>310</v>
      </c>
      <c r="B54" s="14" t="s">
        <v>311</v>
      </c>
      <c r="C54" s="66">
        <v>13300</v>
      </c>
      <c r="D54" s="6">
        <v>3077379998</v>
      </c>
      <c r="E54" s="70" t="s">
        <v>310</v>
      </c>
    </row>
    <row r="55" spans="1:5">
      <c r="A55" s="70" t="s">
        <v>349</v>
      </c>
      <c r="B55" s="14" t="s">
        <v>350</v>
      </c>
      <c r="C55" s="66">
        <v>3800</v>
      </c>
      <c r="D55">
        <v>3050172043</v>
      </c>
      <c r="E55" s="70" t="s">
        <v>349</v>
      </c>
    </row>
    <row r="56" spans="1:5">
      <c r="A56" s="70" t="s">
        <v>351</v>
      </c>
      <c r="B56" s="14" t="s">
        <v>352</v>
      </c>
      <c r="C56" s="66">
        <v>12000</v>
      </c>
      <c r="D56">
        <v>3061537595</v>
      </c>
      <c r="E56" s="70" t="s">
        <v>351</v>
      </c>
    </row>
    <row r="57" spans="1:5">
      <c r="A57" s="70" t="s">
        <v>328</v>
      </c>
      <c r="B57" s="14" t="s">
        <v>329</v>
      </c>
      <c r="C57" s="66">
        <v>8360</v>
      </c>
      <c r="D57">
        <v>3068447396</v>
      </c>
      <c r="E57" s="70" t="s">
        <v>328</v>
      </c>
    </row>
    <row r="58" spans="1:5" ht="240">
      <c r="A58" s="70" t="s">
        <v>353</v>
      </c>
      <c r="B58" s="14" t="s">
        <v>354</v>
      </c>
      <c r="C58" s="66">
        <v>4850</v>
      </c>
      <c r="D58">
        <v>3043257058</v>
      </c>
      <c r="E58" s="70" t="s">
        <v>353</v>
      </c>
    </row>
    <row r="59" spans="1:5" ht="180">
      <c r="A59" s="70" t="s">
        <v>361</v>
      </c>
      <c r="B59" s="14" t="s">
        <v>362</v>
      </c>
      <c r="C59" s="66">
        <v>3350</v>
      </c>
      <c r="D59">
        <v>3066534801</v>
      </c>
      <c r="E59" s="70" t="s">
        <v>361</v>
      </c>
    </row>
    <row r="60" spans="1:5" ht="180">
      <c r="A60" s="70" t="s">
        <v>363</v>
      </c>
      <c r="B60" s="14" t="s">
        <v>364</v>
      </c>
      <c r="C60" s="66">
        <v>2900</v>
      </c>
      <c r="D60">
        <v>3066304966</v>
      </c>
      <c r="E60" s="70" t="s">
        <v>363</v>
      </c>
    </row>
    <row r="61" spans="1:5" ht="165">
      <c r="A61" s="70" t="s">
        <v>369</v>
      </c>
      <c r="B61" s="14" t="s">
        <v>804</v>
      </c>
      <c r="C61" s="66">
        <v>18000</v>
      </c>
      <c r="D61">
        <v>3079112026</v>
      </c>
      <c r="E61" s="70" t="s">
        <v>369</v>
      </c>
    </row>
    <row r="62" spans="1:5">
      <c r="A62" s="70" t="s">
        <v>371</v>
      </c>
      <c r="B62" s="14" t="s">
        <v>372</v>
      </c>
      <c r="C62" s="66">
        <v>15281</v>
      </c>
      <c r="D62">
        <v>3091206981</v>
      </c>
      <c r="E62" s="70" t="s">
        <v>371</v>
      </c>
    </row>
    <row r="63" spans="1:5">
      <c r="A63" s="70" t="s">
        <v>805</v>
      </c>
      <c r="B63" s="14" t="s">
        <v>374</v>
      </c>
      <c r="C63" s="66">
        <v>950</v>
      </c>
      <c r="D63">
        <v>3025272280</v>
      </c>
      <c r="E63" s="70" t="s">
        <v>805</v>
      </c>
    </row>
    <row r="64" spans="1:5" ht="150">
      <c r="A64" s="70" t="s">
        <v>375</v>
      </c>
      <c r="B64" s="14" t="s">
        <v>376</v>
      </c>
      <c r="C64" s="66">
        <v>0</v>
      </c>
      <c r="D64">
        <v>3011998039</v>
      </c>
      <c r="E64" s="70" t="s">
        <v>375</v>
      </c>
    </row>
    <row r="65" spans="1:5" ht="150">
      <c r="A65" s="70" t="s">
        <v>379</v>
      </c>
      <c r="B65" s="14" t="s">
        <v>380</v>
      </c>
      <c r="C65" s="66">
        <v>0</v>
      </c>
      <c r="D65">
        <v>3090904590</v>
      </c>
      <c r="E65" s="70" t="s">
        <v>379</v>
      </c>
    </row>
    <row r="66" spans="1:5" ht="90">
      <c r="A66" s="70" t="s">
        <v>383</v>
      </c>
      <c r="B66" s="14" t="s">
        <v>384</v>
      </c>
      <c r="C66" s="66">
        <v>1988</v>
      </c>
      <c r="D66" s="6">
        <v>3055942303</v>
      </c>
      <c r="E66" s="70" t="s">
        <v>383</v>
      </c>
    </row>
    <row r="67" spans="1:5">
      <c r="A67" s="18" t="s">
        <v>395</v>
      </c>
      <c r="B67" s="14" t="s">
        <v>396</v>
      </c>
      <c r="C67" s="66">
        <v>7299.9999999999991</v>
      </c>
      <c r="D67" s="6">
        <v>3084862463</v>
      </c>
      <c r="E67" s="18" t="s">
        <v>395</v>
      </c>
    </row>
    <row r="68" spans="1:5">
      <c r="A68" s="18" t="s">
        <v>397</v>
      </c>
      <c r="B68" s="14" t="s">
        <v>398</v>
      </c>
      <c r="C68" s="66">
        <v>9200</v>
      </c>
      <c r="D68" s="6">
        <v>3047816045</v>
      </c>
      <c r="E68" s="18" t="s">
        <v>397</v>
      </c>
    </row>
    <row r="69" spans="1:5" ht="30">
      <c r="A69" s="70" t="s">
        <v>219</v>
      </c>
      <c r="B69" s="14" t="s">
        <v>220</v>
      </c>
      <c r="C69" s="66">
        <v>5000</v>
      </c>
      <c r="D69" s="6">
        <v>3090346042</v>
      </c>
      <c r="E69" s="70" t="s">
        <v>219</v>
      </c>
    </row>
    <row r="70" spans="1:5">
      <c r="A70" s="70" t="s">
        <v>399</v>
      </c>
      <c r="B70" s="14" t="s">
        <v>734</v>
      </c>
      <c r="C70" s="66">
        <v>2000</v>
      </c>
      <c r="D70">
        <v>3029884072</v>
      </c>
      <c r="E70" s="70" t="s">
        <v>399</v>
      </c>
    </row>
    <row r="71" spans="1:5" ht="30">
      <c r="A71" s="70" t="s">
        <v>246</v>
      </c>
      <c r="B71" s="14" t="s">
        <v>247</v>
      </c>
      <c r="C71" s="66">
        <v>2000.0000000000002</v>
      </c>
      <c r="D71" s="6">
        <v>3027907052</v>
      </c>
      <c r="E71" s="70" t="s">
        <v>246</v>
      </c>
    </row>
    <row r="72" spans="1:5" ht="30">
      <c r="A72" s="70" t="s">
        <v>221</v>
      </c>
      <c r="B72" s="14" t="s">
        <v>222</v>
      </c>
      <c r="C72" s="66">
        <v>3000</v>
      </c>
      <c r="D72" s="6">
        <v>3083510427</v>
      </c>
      <c r="E72" s="70" t="s">
        <v>221</v>
      </c>
    </row>
    <row r="73" spans="1:5" ht="30">
      <c r="A73" s="70" t="s">
        <v>279</v>
      </c>
      <c r="B73" s="14" t="s">
        <v>280</v>
      </c>
      <c r="C73" s="66">
        <v>4299.9999999999991</v>
      </c>
      <c r="D73" s="6">
        <v>3083107407</v>
      </c>
      <c r="E73" s="70" t="s">
        <v>279</v>
      </c>
    </row>
    <row r="74" spans="1:5">
      <c r="A74" s="70" t="s">
        <v>401</v>
      </c>
      <c r="B74" s="14" t="s">
        <v>402</v>
      </c>
      <c r="C74" s="66">
        <v>5100</v>
      </c>
      <c r="D74" s="6">
        <v>3079434410</v>
      </c>
      <c r="E74" s="70" t="s">
        <v>401</v>
      </c>
    </row>
    <row r="75" spans="1:5" ht="30">
      <c r="A75" s="70" t="s">
        <v>238</v>
      </c>
      <c r="B75" s="14" t="s">
        <v>239</v>
      </c>
      <c r="C75" s="66">
        <v>1370.625</v>
      </c>
      <c r="D75" s="6">
        <v>3064946462</v>
      </c>
      <c r="E75" s="70" t="s">
        <v>238</v>
      </c>
    </row>
    <row r="76" spans="1:5" ht="30">
      <c r="A76" s="70" t="s">
        <v>240</v>
      </c>
      <c r="B76" s="14" t="s">
        <v>241</v>
      </c>
      <c r="C76" s="66">
        <v>1713</v>
      </c>
      <c r="D76" s="6">
        <v>3029033430</v>
      </c>
      <c r="E76" s="70" t="s">
        <v>240</v>
      </c>
    </row>
    <row r="77" spans="1:5" ht="30">
      <c r="A77" s="70" t="s">
        <v>314</v>
      </c>
      <c r="B77" s="14" t="s">
        <v>315</v>
      </c>
      <c r="C77" s="66">
        <v>1462</v>
      </c>
      <c r="D77" s="6">
        <v>3061242563</v>
      </c>
      <c r="E77" s="70" t="s">
        <v>314</v>
      </c>
    </row>
    <row r="78" spans="1:5" ht="30">
      <c r="A78" s="70" t="s">
        <v>316</v>
      </c>
      <c r="B78" s="14" t="s">
        <v>317</v>
      </c>
      <c r="C78" s="66">
        <v>2307</v>
      </c>
      <c r="D78" s="6">
        <v>3057161423</v>
      </c>
      <c r="E78" s="70" t="s">
        <v>316</v>
      </c>
    </row>
    <row r="79" spans="1:5" ht="30">
      <c r="A79" s="70" t="s">
        <v>318</v>
      </c>
      <c r="B79" s="14" t="s">
        <v>319</v>
      </c>
      <c r="C79" s="66">
        <v>3469</v>
      </c>
      <c r="D79" s="6">
        <v>3040925764</v>
      </c>
      <c r="E79" s="70" t="s">
        <v>318</v>
      </c>
    </row>
    <row r="80" spans="1:5" ht="30">
      <c r="A80" s="70" t="s">
        <v>403</v>
      </c>
      <c r="B80" s="14" t="s">
        <v>404</v>
      </c>
      <c r="C80" s="66">
        <v>30</v>
      </c>
      <c r="D80" s="6">
        <v>3019542500</v>
      </c>
      <c r="E80" s="70" t="s">
        <v>403</v>
      </c>
    </row>
    <row r="81" spans="1:5" ht="30">
      <c r="A81" s="70" t="s">
        <v>405</v>
      </c>
      <c r="B81" s="14" t="s">
        <v>406</v>
      </c>
      <c r="C81" s="66">
        <v>40</v>
      </c>
      <c r="D81" s="6">
        <v>3039118801</v>
      </c>
      <c r="E81" s="70" t="s">
        <v>405</v>
      </c>
    </row>
    <row r="82" spans="1:5" ht="30">
      <c r="A82" s="70" t="s">
        <v>407</v>
      </c>
      <c r="B82" s="14" t="s">
        <v>408</v>
      </c>
      <c r="C82" s="66">
        <v>80</v>
      </c>
      <c r="D82" s="6">
        <v>3043620585</v>
      </c>
      <c r="E82" s="70" t="s">
        <v>407</v>
      </c>
    </row>
    <row r="83" spans="1:5" ht="30">
      <c r="A83" s="70" t="s">
        <v>409</v>
      </c>
      <c r="B83" s="14" t="s">
        <v>410</v>
      </c>
      <c r="C83" s="66">
        <v>160</v>
      </c>
      <c r="D83" s="6">
        <v>3093056662</v>
      </c>
      <c r="E83" s="70" t="s">
        <v>409</v>
      </c>
    </row>
    <row r="84" spans="1:5" ht="30">
      <c r="A84" s="70" t="s">
        <v>367</v>
      </c>
      <c r="B84" s="14" t="s">
        <v>368</v>
      </c>
      <c r="C84" s="66">
        <v>35</v>
      </c>
      <c r="D84" s="6">
        <v>3031959162</v>
      </c>
      <c r="E84" s="70" t="s">
        <v>367</v>
      </c>
    </row>
    <row r="85" spans="1:5" ht="30">
      <c r="A85" s="1" t="s">
        <v>413</v>
      </c>
      <c r="B85" s="14" t="s">
        <v>412</v>
      </c>
      <c r="C85" s="66">
        <v>599.99999999999989</v>
      </c>
      <c r="D85" s="6">
        <v>3078304503</v>
      </c>
      <c r="E85" s="1" t="s">
        <v>413</v>
      </c>
    </row>
    <row r="86" spans="1:5" ht="30">
      <c r="A86" s="1" t="s">
        <v>416</v>
      </c>
      <c r="B86" s="14" t="s">
        <v>415</v>
      </c>
      <c r="C86" s="66">
        <v>240</v>
      </c>
      <c r="D86" s="6">
        <v>3090865384</v>
      </c>
      <c r="E86" s="1" t="s">
        <v>416</v>
      </c>
    </row>
    <row r="87" spans="1:5">
      <c r="A87" s="70" t="s">
        <v>417</v>
      </c>
      <c r="B87" s="14" t="s">
        <v>418</v>
      </c>
      <c r="C87" s="66">
        <v>2300</v>
      </c>
      <c r="D87">
        <v>3025928692</v>
      </c>
      <c r="E87" s="70" t="s">
        <v>417</v>
      </c>
    </row>
    <row r="88" spans="1:5">
      <c r="A88" s="70" t="s">
        <v>419</v>
      </c>
      <c r="B88" s="14" t="s">
        <v>420</v>
      </c>
      <c r="C88" s="66">
        <v>4200</v>
      </c>
      <c r="D88">
        <v>3054924822</v>
      </c>
      <c r="E88" s="70" t="s">
        <v>419</v>
      </c>
    </row>
    <row r="89" spans="1:5">
      <c r="A89" s="70" t="s">
        <v>421</v>
      </c>
      <c r="B89" s="14" t="s">
        <v>422</v>
      </c>
      <c r="C89" s="66">
        <v>1300</v>
      </c>
      <c r="D89">
        <v>3030107884</v>
      </c>
      <c r="E89" s="70" t="s">
        <v>421</v>
      </c>
    </row>
    <row r="90" spans="1:5">
      <c r="A90" s="70" t="s">
        <v>423</v>
      </c>
      <c r="B90" s="14" t="s">
        <v>424</v>
      </c>
      <c r="C90" s="66">
        <v>2100</v>
      </c>
      <c r="D90">
        <v>3083676848</v>
      </c>
      <c r="E90" s="70" t="s">
        <v>423</v>
      </c>
    </row>
    <row r="91" spans="1:5" ht="45">
      <c r="A91" s="70" t="s">
        <v>425</v>
      </c>
      <c r="B91" s="14" t="s">
        <v>426</v>
      </c>
      <c r="C91" s="66">
        <v>4337.8</v>
      </c>
      <c r="D91" s="6">
        <v>3016646068</v>
      </c>
      <c r="E91" s="70" t="s">
        <v>425</v>
      </c>
    </row>
    <row r="92" spans="1:5" ht="60">
      <c r="A92" s="70" t="s">
        <v>431</v>
      </c>
      <c r="B92" s="14" t="s">
        <v>806</v>
      </c>
      <c r="C92" s="66">
        <v>15000</v>
      </c>
      <c r="D92" s="6">
        <v>3035608331</v>
      </c>
      <c r="E92" s="70" t="s">
        <v>431</v>
      </c>
    </row>
    <row r="93" spans="1:5">
      <c r="A93" s="70" t="s">
        <v>433</v>
      </c>
      <c r="B93" s="14" t="s">
        <v>434</v>
      </c>
      <c r="C93" s="66">
        <v>1000</v>
      </c>
      <c r="D93">
        <v>3011201891</v>
      </c>
      <c r="E93" s="70" t="s">
        <v>433</v>
      </c>
    </row>
    <row r="94" spans="1:5">
      <c r="A94" s="70" t="s">
        <v>435</v>
      </c>
      <c r="B94" s="14" t="s">
        <v>436</v>
      </c>
      <c r="C94" s="66">
        <v>1000</v>
      </c>
      <c r="D94">
        <v>3073795830</v>
      </c>
      <c r="E94" s="70" t="s">
        <v>435</v>
      </c>
    </row>
    <row r="95" spans="1:5">
      <c r="A95" s="70" t="s">
        <v>437</v>
      </c>
      <c r="B95" s="14" t="s">
        <v>438</v>
      </c>
      <c r="C95" s="66">
        <v>300</v>
      </c>
      <c r="D95">
        <v>3098721057</v>
      </c>
      <c r="E95" s="70" t="s">
        <v>437</v>
      </c>
    </row>
    <row r="96" spans="1:5">
      <c r="A96" s="70" t="s">
        <v>439</v>
      </c>
      <c r="B96" s="14" t="s">
        <v>440</v>
      </c>
      <c r="C96" s="66">
        <v>300</v>
      </c>
      <c r="D96">
        <v>3076732972</v>
      </c>
      <c r="E96" s="70" t="s">
        <v>439</v>
      </c>
    </row>
    <row r="97" spans="1:5">
      <c r="A97" s="70" t="s">
        <v>357</v>
      </c>
      <c r="B97" s="14" t="s">
        <v>358</v>
      </c>
      <c r="C97" s="66">
        <v>300</v>
      </c>
      <c r="D97">
        <v>3063342083</v>
      </c>
      <c r="E97" s="70" t="s">
        <v>357</v>
      </c>
    </row>
    <row r="98" spans="1:5">
      <c r="A98" s="70" t="s">
        <v>441</v>
      </c>
      <c r="B98" s="14" t="s">
        <v>442</v>
      </c>
      <c r="C98" s="66">
        <v>300</v>
      </c>
      <c r="D98">
        <v>3067541885</v>
      </c>
      <c r="E98" s="70" t="s">
        <v>441</v>
      </c>
    </row>
    <row r="99" spans="1:5">
      <c r="A99" s="70" t="s">
        <v>443</v>
      </c>
      <c r="B99" s="14" t="s">
        <v>444</v>
      </c>
      <c r="C99" s="66">
        <v>300</v>
      </c>
      <c r="D99">
        <v>3090368912</v>
      </c>
      <c r="E99" s="70" t="s">
        <v>443</v>
      </c>
    </row>
    <row r="100" spans="1:5">
      <c r="A100" s="70" t="s">
        <v>445</v>
      </c>
      <c r="B100" s="14" t="s">
        <v>446</v>
      </c>
      <c r="C100" s="66">
        <v>300</v>
      </c>
      <c r="D100">
        <v>3094600287</v>
      </c>
      <c r="E100" s="70" t="s">
        <v>445</v>
      </c>
    </row>
    <row r="101" spans="1:5">
      <c r="A101" s="70" t="s">
        <v>447</v>
      </c>
      <c r="B101" s="14" t="s">
        <v>448</v>
      </c>
      <c r="C101" s="66">
        <v>40</v>
      </c>
      <c r="D101">
        <v>3095328969</v>
      </c>
      <c r="E101" s="70" t="s">
        <v>447</v>
      </c>
    </row>
    <row r="102" spans="1:5">
      <c r="A102" s="70" t="s">
        <v>449</v>
      </c>
      <c r="B102" s="14" t="s">
        <v>450</v>
      </c>
      <c r="C102" s="66">
        <v>100</v>
      </c>
      <c r="D102">
        <v>3015902050</v>
      </c>
      <c r="E102" s="70" t="s">
        <v>449</v>
      </c>
    </row>
    <row r="103" spans="1:5">
      <c r="A103" s="70" t="s">
        <v>359</v>
      </c>
      <c r="B103" s="14" t="s">
        <v>360</v>
      </c>
      <c r="C103" s="66">
        <v>100</v>
      </c>
      <c r="D103">
        <v>3053641003</v>
      </c>
      <c r="E103" s="70" t="s">
        <v>359</v>
      </c>
    </row>
    <row r="104" spans="1:5">
      <c r="A104" s="70" t="s">
        <v>451</v>
      </c>
      <c r="B104" s="14" t="s">
        <v>452</v>
      </c>
      <c r="C104" s="66">
        <v>100</v>
      </c>
      <c r="D104">
        <v>3078335361</v>
      </c>
      <c r="E104" s="70" t="s">
        <v>451</v>
      </c>
    </row>
    <row r="105" spans="1:5">
      <c r="A105" s="70" t="s">
        <v>453</v>
      </c>
      <c r="B105" s="14" t="s">
        <v>454</v>
      </c>
      <c r="C105" s="66">
        <v>0</v>
      </c>
      <c r="D105">
        <v>3066930622</v>
      </c>
      <c r="E105" s="70" t="s">
        <v>453</v>
      </c>
    </row>
    <row r="106" spans="1:5">
      <c r="A106" s="70" t="s">
        <v>455</v>
      </c>
      <c r="B106" s="14" t="s">
        <v>456</v>
      </c>
      <c r="C106" s="66">
        <v>250</v>
      </c>
      <c r="D106">
        <v>3046518651</v>
      </c>
      <c r="E106" s="70" t="s">
        <v>455</v>
      </c>
    </row>
    <row r="107" spans="1:5">
      <c r="A107" s="70" t="s">
        <v>457</v>
      </c>
      <c r="B107" s="14" t="s">
        <v>458</v>
      </c>
      <c r="C107" s="66">
        <v>10000</v>
      </c>
      <c r="D107">
        <v>3041361313</v>
      </c>
      <c r="E107" s="70" t="s">
        <v>457</v>
      </c>
    </row>
    <row r="108" spans="1:5" ht="105">
      <c r="A108" s="70" t="s">
        <v>459</v>
      </c>
      <c r="B108" s="14" t="s">
        <v>807</v>
      </c>
      <c r="C108" s="66">
        <v>28</v>
      </c>
      <c r="D108">
        <v>3050242300</v>
      </c>
      <c r="E108" s="70" t="s">
        <v>459</v>
      </c>
    </row>
    <row r="109" spans="1:5">
      <c r="A109" s="70" t="s">
        <v>475</v>
      </c>
      <c r="B109" s="14" t="s">
        <v>476</v>
      </c>
      <c r="C109" s="66">
        <v>5000</v>
      </c>
      <c r="D109">
        <v>3096766625</v>
      </c>
      <c r="E109" s="70" t="s">
        <v>475</v>
      </c>
    </row>
    <row r="110" spans="1:5">
      <c r="A110" s="70" t="s">
        <v>478</v>
      </c>
      <c r="B110" s="14" t="s">
        <v>479</v>
      </c>
      <c r="C110" s="66">
        <v>125000</v>
      </c>
      <c r="D110">
        <v>3080302465</v>
      </c>
      <c r="E110" s="70" t="s">
        <v>478</v>
      </c>
    </row>
    <row r="111" spans="1:5" ht="30">
      <c r="A111" s="70" t="s">
        <v>480</v>
      </c>
      <c r="B111" s="14" t="s">
        <v>481</v>
      </c>
      <c r="C111" s="66">
        <v>785</v>
      </c>
      <c r="D111">
        <v>3019208415</v>
      </c>
      <c r="E111" s="70" t="s">
        <v>480</v>
      </c>
    </row>
    <row r="112" spans="1:5">
      <c r="A112" s="70" t="s">
        <v>482</v>
      </c>
      <c r="B112" s="14" t="s">
        <v>483</v>
      </c>
      <c r="C112" s="66">
        <v>450</v>
      </c>
      <c r="D112">
        <v>3073697614</v>
      </c>
      <c r="E112" s="70" t="s">
        <v>482</v>
      </c>
    </row>
    <row r="113" spans="1:5">
      <c r="A113" s="70" t="s">
        <v>484</v>
      </c>
      <c r="B113" s="14" t="s">
        <v>485</v>
      </c>
      <c r="C113" s="66">
        <v>225</v>
      </c>
      <c r="D113">
        <v>3081360242</v>
      </c>
      <c r="E113" s="70" t="s">
        <v>484</v>
      </c>
    </row>
    <row r="114" spans="1:5">
      <c r="A114" s="70" t="s">
        <v>486</v>
      </c>
      <c r="B114" s="14" t="s">
        <v>487</v>
      </c>
      <c r="C114" s="66">
        <v>75</v>
      </c>
      <c r="D114">
        <v>3073121370</v>
      </c>
      <c r="E114" s="70" t="s">
        <v>486</v>
      </c>
    </row>
    <row r="115" spans="1:5">
      <c r="A115" s="70" t="s">
        <v>488</v>
      </c>
      <c r="B115" s="14" t="s">
        <v>489</v>
      </c>
      <c r="C115" s="66">
        <v>15000.000000000002</v>
      </c>
      <c r="D115">
        <v>3030283232</v>
      </c>
      <c r="E115" s="70" t="s">
        <v>488</v>
      </c>
    </row>
    <row r="116" spans="1:5">
      <c r="A116" s="70" t="s">
        <v>490</v>
      </c>
      <c r="B116" s="14" t="s">
        <v>491</v>
      </c>
      <c r="C116" s="66">
        <v>15000</v>
      </c>
      <c r="D116">
        <v>3016262059</v>
      </c>
      <c r="E116" s="70" t="s">
        <v>490</v>
      </c>
    </row>
    <row r="117" spans="1:5">
      <c r="A117" s="70" t="s">
        <v>492</v>
      </c>
      <c r="B117" s="14" t="s">
        <v>493</v>
      </c>
      <c r="C117" s="66">
        <v>20000</v>
      </c>
      <c r="D117">
        <v>3090096080</v>
      </c>
      <c r="E117" s="70" t="s">
        <v>492</v>
      </c>
    </row>
    <row r="118" spans="1:5">
      <c r="A118" s="70" t="s">
        <v>494</v>
      </c>
      <c r="B118" s="14" t="s">
        <v>495</v>
      </c>
      <c r="C118" s="66">
        <v>20000</v>
      </c>
      <c r="D118">
        <v>3039524547</v>
      </c>
      <c r="E118" s="70" t="s">
        <v>494</v>
      </c>
    </row>
    <row r="119" spans="1:5">
      <c r="A119" s="70" t="s">
        <v>496</v>
      </c>
      <c r="B119" s="14" t="s">
        <v>497</v>
      </c>
      <c r="C119" s="66">
        <v>200000</v>
      </c>
      <c r="D119">
        <v>3085159011</v>
      </c>
      <c r="E119" s="70" t="s">
        <v>496</v>
      </c>
    </row>
    <row r="120" spans="1:5" ht="45">
      <c r="A120" s="65" t="s">
        <v>498</v>
      </c>
      <c r="B120" s="14" t="s">
        <v>499</v>
      </c>
      <c r="C120" s="66">
        <v>6000</v>
      </c>
      <c r="D120" s="6">
        <v>3012563231</v>
      </c>
      <c r="E120" s="65" t="s">
        <v>498</v>
      </c>
    </row>
    <row r="121" spans="1:5" ht="45">
      <c r="A121" s="65" t="s">
        <v>500</v>
      </c>
      <c r="B121" s="14" t="s">
        <v>501</v>
      </c>
      <c r="C121" s="66">
        <v>6000</v>
      </c>
      <c r="D121" s="6">
        <v>3079928711</v>
      </c>
      <c r="E121" s="65" t="s">
        <v>500</v>
      </c>
    </row>
    <row r="122" spans="1:5" ht="45">
      <c r="A122" s="65" t="s">
        <v>502</v>
      </c>
      <c r="B122" s="14" t="s">
        <v>503</v>
      </c>
      <c r="C122" s="66">
        <v>4400</v>
      </c>
      <c r="D122" s="6">
        <v>3057585619</v>
      </c>
      <c r="E122" s="65" t="s">
        <v>502</v>
      </c>
    </row>
    <row r="123" spans="1:5" ht="45">
      <c r="A123" s="65" t="s">
        <v>504</v>
      </c>
      <c r="B123" s="14" t="s">
        <v>505</v>
      </c>
      <c r="C123" s="66">
        <v>0</v>
      </c>
      <c r="D123" s="6">
        <v>3091985164</v>
      </c>
      <c r="E123" s="65" t="s">
        <v>504</v>
      </c>
    </row>
    <row r="124" spans="1:5" ht="45">
      <c r="A124" s="65" t="s">
        <v>506</v>
      </c>
      <c r="B124" s="14" t="s">
        <v>507</v>
      </c>
      <c r="C124" s="66">
        <v>6000</v>
      </c>
      <c r="D124" s="6">
        <v>3042668390</v>
      </c>
      <c r="E124" s="65" t="s">
        <v>506</v>
      </c>
    </row>
    <row r="125" spans="1:5" ht="30">
      <c r="A125" s="65" t="s">
        <v>508</v>
      </c>
      <c r="B125" s="14" t="s">
        <v>509</v>
      </c>
      <c r="C125" s="66">
        <v>0</v>
      </c>
      <c r="D125" s="6">
        <v>3098864750</v>
      </c>
      <c r="E125" s="65" t="s">
        <v>508</v>
      </c>
    </row>
    <row r="126" spans="1:5" ht="30">
      <c r="A126" s="65" t="s">
        <v>510</v>
      </c>
      <c r="B126" s="14" t="s">
        <v>511</v>
      </c>
      <c r="C126" s="66">
        <v>30000</v>
      </c>
      <c r="D126" s="6">
        <v>3050962400</v>
      </c>
      <c r="E126" s="65" t="s">
        <v>510</v>
      </c>
    </row>
    <row r="127" spans="1:5" ht="30">
      <c r="A127" s="65" t="s">
        <v>512</v>
      </c>
      <c r="B127" s="14" t="s">
        <v>513</v>
      </c>
      <c r="C127" s="66">
        <v>50000</v>
      </c>
      <c r="D127">
        <v>3043338532</v>
      </c>
      <c r="E127" s="65" t="s">
        <v>512</v>
      </c>
    </row>
    <row r="128" spans="1:5" ht="45">
      <c r="A128" s="65" t="s">
        <v>514</v>
      </c>
      <c r="B128" s="14" t="s">
        <v>515</v>
      </c>
      <c r="C128" s="66">
        <v>10000</v>
      </c>
      <c r="D128">
        <v>3075706519</v>
      </c>
      <c r="E128" s="65" t="s">
        <v>514</v>
      </c>
    </row>
    <row r="129" spans="1:5" ht="45">
      <c r="A129" s="65" t="s">
        <v>516</v>
      </c>
      <c r="B129" s="14" t="s">
        <v>517</v>
      </c>
      <c r="C129" s="66">
        <v>10000</v>
      </c>
      <c r="D129">
        <v>3039137045</v>
      </c>
      <c r="E129" s="65" t="s">
        <v>516</v>
      </c>
    </row>
    <row r="130" spans="1:5" ht="45">
      <c r="A130" s="65" t="s">
        <v>518</v>
      </c>
      <c r="B130" s="14" t="s">
        <v>519</v>
      </c>
      <c r="C130" s="66">
        <v>10000</v>
      </c>
      <c r="D130">
        <v>3076929792</v>
      </c>
      <c r="E130" s="65" t="s">
        <v>518</v>
      </c>
    </row>
    <row r="131" spans="1:5" ht="45">
      <c r="A131" s="65" t="s">
        <v>520</v>
      </c>
      <c r="B131" s="14" t="s">
        <v>521</v>
      </c>
      <c r="C131" s="66">
        <v>7247</v>
      </c>
      <c r="D131">
        <v>3021260661</v>
      </c>
      <c r="E131" s="65" t="s">
        <v>520</v>
      </c>
    </row>
    <row r="132" spans="1:5" ht="45">
      <c r="A132" s="65" t="s">
        <v>522</v>
      </c>
      <c r="B132" s="14" t="s">
        <v>523</v>
      </c>
      <c r="C132" s="66">
        <v>5921</v>
      </c>
      <c r="D132">
        <v>3010287699</v>
      </c>
      <c r="E132" s="65" t="s">
        <v>522</v>
      </c>
    </row>
    <row r="133" spans="1:5" ht="45">
      <c r="A133" s="65" t="s">
        <v>524</v>
      </c>
      <c r="B133" s="14" t="s">
        <v>525</v>
      </c>
      <c r="C133" s="66">
        <v>3973.2</v>
      </c>
      <c r="D133" s="6">
        <v>3086166872</v>
      </c>
      <c r="E133" s="65" t="s">
        <v>524</v>
      </c>
    </row>
    <row r="134" spans="1:5" ht="45">
      <c r="A134" s="65" t="s">
        <v>526</v>
      </c>
      <c r="B134" s="14" t="s">
        <v>527</v>
      </c>
      <c r="C134" s="66">
        <v>6000</v>
      </c>
      <c r="D134" s="6">
        <v>3098507232</v>
      </c>
      <c r="E134" s="65" t="s">
        <v>526</v>
      </c>
    </row>
    <row r="135" spans="1:5" ht="30">
      <c r="A135" s="65" t="s">
        <v>528</v>
      </c>
      <c r="B135" s="14" t="s">
        <v>529</v>
      </c>
      <c r="C135" s="66">
        <v>25876</v>
      </c>
      <c r="D135" s="6">
        <v>3014116532</v>
      </c>
      <c r="E135" s="65" t="s">
        <v>528</v>
      </c>
    </row>
    <row r="136" spans="1:5" ht="30">
      <c r="A136" s="65" t="s">
        <v>530</v>
      </c>
      <c r="B136" s="14" t="s">
        <v>531</v>
      </c>
      <c r="C136" s="66">
        <v>35000</v>
      </c>
      <c r="D136" s="6">
        <v>3043063050</v>
      </c>
      <c r="E136" s="65" t="s">
        <v>530</v>
      </c>
    </row>
    <row r="137" spans="1:5" ht="45">
      <c r="A137" s="65" t="s">
        <v>532</v>
      </c>
      <c r="B137" s="14" t="s">
        <v>533</v>
      </c>
      <c r="C137" s="66">
        <v>12000</v>
      </c>
      <c r="D137">
        <v>3055892175</v>
      </c>
      <c r="E137" s="65" t="s">
        <v>532</v>
      </c>
    </row>
    <row r="138" spans="1:5" ht="45">
      <c r="A138" s="65" t="s">
        <v>808</v>
      </c>
      <c r="B138" s="14" t="s">
        <v>535</v>
      </c>
      <c r="C138" s="66">
        <v>35000</v>
      </c>
      <c r="D138">
        <v>3029909708</v>
      </c>
      <c r="E138" s="65" t="s">
        <v>808</v>
      </c>
    </row>
    <row r="139" spans="1:5">
      <c r="A139" s="65" t="s">
        <v>536</v>
      </c>
      <c r="B139" s="17" t="s">
        <v>537</v>
      </c>
      <c r="C139" s="66">
        <v>2004</v>
      </c>
      <c r="D139" s="6">
        <v>3038699374</v>
      </c>
      <c r="E139" s="65" t="s">
        <v>536</v>
      </c>
    </row>
    <row r="140" spans="1:5">
      <c r="A140" s="65" t="s">
        <v>538</v>
      </c>
      <c r="B140" s="17" t="s">
        <v>539</v>
      </c>
      <c r="C140" s="66">
        <v>988</v>
      </c>
      <c r="D140" s="6">
        <v>3057727665</v>
      </c>
      <c r="E140" s="65" t="s">
        <v>538</v>
      </c>
    </row>
    <row r="141" spans="1:5">
      <c r="A141" s="65" t="s">
        <v>540</v>
      </c>
      <c r="B141" s="17" t="s">
        <v>541</v>
      </c>
      <c r="C141" s="66">
        <v>2004</v>
      </c>
      <c r="D141" s="6">
        <v>3029993682</v>
      </c>
      <c r="E141" s="65" t="s">
        <v>540</v>
      </c>
    </row>
    <row r="142" spans="1:5">
      <c r="A142" s="65" t="s">
        <v>542</v>
      </c>
      <c r="B142" s="17" t="s">
        <v>543</v>
      </c>
      <c r="C142" s="66">
        <v>988</v>
      </c>
      <c r="D142" s="6">
        <v>3021241643</v>
      </c>
      <c r="E142" s="65" t="s">
        <v>542</v>
      </c>
    </row>
    <row r="143" spans="1:5">
      <c r="A143" s="65" t="s">
        <v>544</v>
      </c>
      <c r="B143" s="17" t="s">
        <v>545</v>
      </c>
      <c r="C143" s="66">
        <v>2004</v>
      </c>
      <c r="D143" s="6">
        <v>3074240543</v>
      </c>
      <c r="E143" s="65" t="s">
        <v>544</v>
      </c>
    </row>
    <row r="144" spans="1:5">
      <c r="A144" s="65" t="s">
        <v>546</v>
      </c>
      <c r="B144" s="17" t="s">
        <v>547</v>
      </c>
      <c r="C144" s="66">
        <v>988</v>
      </c>
      <c r="D144" s="6">
        <v>3097407090</v>
      </c>
      <c r="E144" s="65" t="s">
        <v>546</v>
      </c>
    </row>
    <row r="145" spans="1:6">
      <c r="A145" s="65" t="s">
        <v>548</v>
      </c>
      <c r="B145" s="17" t="s">
        <v>549</v>
      </c>
      <c r="C145" s="66">
        <v>390</v>
      </c>
      <c r="D145">
        <v>3025561575</v>
      </c>
      <c r="E145" s="65" t="s">
        <v>548</v>
      </c>
    </row>
    <row r="146" spans="1:6">
      <c r="A146" s="65" t="s">
        <v>550</v>
      </c>
      <c r="B146" s="17" t="s">
        <v>551</v>
      </c>
      <c r="C146" s="66">
        <v>500</v>
      </c>
      <c r="D146" s="6">
        <v>3015616247</v>
      </c>
      <c r="E146" s="65" t="s">
        <v>550</v>
      </c>
    </row>
    <row r="147" spans="1:6">
      <c r="A147" s="65" t="s">
        <v>552</v>
      </c>
      <c r="B147" s="17" t="s">
        <v>553</v>
      </c>
      <c r="C147" s="66">
        <v>1800</v>
      </c>
      <c r="D147">
        <v>3063746227</v>
      </c>
      <c r="E147" s="65" t="s">
        <v>552</v>
      </c>
    </row>
    <row r="148" spans="1:6" ht="150">
      <c r="A148" s="65" t="s">
        <v>554</v>
      </c>
      <c r="B148" s="14" t="s">
        <v>555</v>
      </c>
      <c r="C148" s="66">
        <v>1800</v>
      </c>
      <c r="D148">
        <v>3037783100</v>
      </c>
      <c r="E148" s="65" t="s">
        <v>554</v>
      </c>
    </row>
    <row r="149" spans="1:6">
      <c r="A149" s="65" t="s">
        <v>556</v>
      </c>
      <c r="B149" s="17" t="s">
        <v>557</v>
      </c>
      <c r="C149" s="71">
        <v>500</v>
      </c>
      <c r="D149">
        <v>3095478693</v>
      </c>
      <c r="E149" s="65" t="s">
        <v>556</v>
      </c>
      <c r="F149" s="98"/>
    </row>
    <row r="150" spans="1:6">
      <c r="A150" s="65" t="s">
        <v>558</v>
      </c>
      <c r="B150" s="17" t="s">
        <v>559</v>
      </c>
      <c r="C150" s="71">
        <v>1710</v>
      </c>
      <c r="D150">
        <v>3023551258</v>
      </c>
      <c r="E150" s="65" t="s">
        <v>558</v>
      </c>
    </row>
    <row r="151" spans="1:6">
      <c r="A151" s="65" t="s">
        <v>560</v>
      </c>
      <c r="B151" s="17" t="s">
        <v>561</v>
      </c>
      <c r="C151" s="71">
        <v>1002</v>
      </c>
      <c r="D151">
        <v>3086203925</v>
      </c>
      <c r="E151" s="65" t="s">
        <v>560</v>
      </c>
    </row>
    <row r="152" spans="1:6">
      <c r="A152" s="65" t="s">
        <v>562</v>
      </c>
      <c r="B152" s="17" t="s">
        <v>563</v>
      </c>
      <c r="C152" s="71">
        <v>680</v>
      </c>
      <c r="D152">
        <v>3064904718</v>
      </c>
      <c r="E152" s="65" t="s">
        <v>562</v>
      </c>
    </row>
    <row r="153" spans="1:6">
      <c r="A153" s="65" t="s">
        <v>564</v>
      </c>
      <c r="B153" s="17" t="s">
        <v>565</v>
      </c>
      <c r="C153" s="71">
        <v>0</v>
      </c>
      <c r="D153" s="6">
        <v>3043171899</v>
      </c>
      <c r="E153" s="65" t="s">
        <v>564</v>
      </c>
    </row>
    <row r="154" spans="1:6">
      <c r="A154" s="65" t="s">
        <v>566</v>
      </c>
      <c r="B154" s="17" t="s">
        <v>567</v>
      </c>
      <c r="C154" s="71">
        <v>0</v>
      </c>
      <c r="D154">
        <v>3027390070</v>
      </c>
      <c r="E154" s="65" t="s">
        <v>566</v>
      </c>
    </row>
    <row r="155" spans="1:6">
      <c r="A155" s="65" t="s">
        <v>568</v>
      </c>
      <c r="B155" s="17" t="s">
        <v>569</v>
      </c>
      <c r="C155" s="71">
        <v>55000</v>
      </c>
      <c r="D155">
        <v>3089879742</v>
      </c>
      <c r="E155" s="65" t="s">
        <v>568</v>
      </c>
    </row>
    <row r="156" spans="1:6">
      <c r="A156" s="65" t="s">
        <v>570</v>
      </c>
      <c r="B156" s="17" t="s">
        <v>571</v>
      </c>
      <c r="C156" s="71">
        <v>24000</v>
      </c>
      <c r="D156">
        <v>3060227629</v>
      </c>
      <c r="E156" s="65" t="s">
        <v>570</v>
      </c>
    </row>
    <row r="157" spans="1:6">
      <c r="A157" s="65" t="s">
        <v>572</v>
      </c>
      <c r="B157" s="17" t="s">
        <v>573</v>
      </c>
      <c r="C157" s="71">
        <v>0</v>
      </c>
      <c r="D157">
        <v>3034479211</v>
      </c>
      <c r="E157" s="65" t="s">
        <v>572</v>
      </c>
    </row>
    <row r="158" spans="1:6">
      <c r="A158" s="65" t="s">
        <v>574</v>
      </c>
      <c r="B158" s="17" t="s">
        <v>575</v>
      </c>
      <c r="C158" s="71">
        <v>74088</v>
      </c>
      <c r="D158">
        <v>3083845279</v>
      </c>
      <c r="E158" s="65" t="s">
        <v>574</v>
      </c>
    </row>
    <row r="159" spans="1:6">
      <c r="A159" s="65" t="s">
        <v>576</v>
      </c>
      <c r="B159" s="17" t="s">
        <v>761</v>
      </c>
      <c r="C159" s="71">
        <v>537600</v>
      </c>
      <c r="D159">
        <v>3053049447</v>
      </c>
      <c r="E159" s="65" t="s">
        <v>576</v>
      </c>
    </row>
    <row r="160" spans="1:6">
      <c r="A160" s="65" t="s">
        <v>578</v>
      </c>
      <c r="B160" s="17" t="s">
        <v>725</v>
      </c>
      <c r="C160" s="71">
        <v>966604.80000000016</v>
      </c>
      <c r="D160">
        <v>3026609591</v>
      </c>
      <c r="E160" s="65" t="s">
        <v>578</v>
      </c>
    </row>
    <row r="161" spans="1:5">
      <c r="A161" s="65" t="s">
        <v>580</v>
      </c>
      <c r="B161" s="17" t="s">
        <v>776</v>
      </c>
      <c r="C161" s="71">
        <v>1371955.2000000002</v>
      </c>
      <c r="D161">
        <v>3010679228</v>
      </c>
      <c r="E161" s="65" t="s">
        <v>580</v>
      </c>
    </row>
    <row r="162" spans="1:5">
      <c r="A162" s="65" t="s">
        <v>582</v>
      </c>
      <c r="B162" s="17" t="s">
        <v>583</v>
      </c>
      <c r="C162" s="71">
        <v>308582.40000000002</v>
      </c>
      <c r="D162">
        <v>3012592186</v>
      </c>
      <c r="E162" s="65" t="s">
        <v>582</v>
      </c>
    </row>
    <row r="163" spans="1:5">
      <c r="A163" s="65" t="s">
        <v>584</v>
      </c>
      <c r="B163" s="17" t="s">
        <v>585</v>
      </c>
      <c r="C163" s="71">
        <v>415121.27999999997</v>
      </c>
      <c r="D163">
        <v>3091889365</v>
      </c>
      <c r="E163" s="65" t="s">
        <v>584</v>
      </c>
    </row>
    <row r="164" spans="1:5">
      <c r="A164" s="65" t="s">
        <v>586</v>
      </c>
      <c r="B164" s="17" t="s">
        <v>587</v>
      </c>
      <c r="C164" s="71">
        <v>1548.8000000000002</v>
      </c>
      <c r="D164">
        <v>3050707920</v>
      </c>
      <c r="E164" s="65" t="s">
        <v>586</v>
      </c>
    </row>
    <row r="165" spans="1:5">
      <c r="A165" s="65" t="s">
        <v>588</v>
      </c>
      <c r="B165" s="17" t="s">
        <v>589</v>
      </c>
      <c r="C165" s="71">
        <v>774.40000000000009</v>
      </c>
      <c r="D165">
        <v>3099044561</v>
      </c>
      <c r="E165" s="65" t="s">
        <v>588</v>
      </c>
    </row>
    <row r="166" spans="1:5">
      <c r="A166" s="65" t="s">
        <v>590</v>
      </c>
      <c r="B166" s="17" t="s">
        <v>591</v>
      </c>
      <c r="C166" s="71">
        <v>774.40000000000009</v>
      </c>
      <c r="D166">
        <v>3036282449</v>
      </c>
      <c r="E166" s="65" t="s">
        <v>590</v>
      </c>
    </row>
    <row r="167" spans="1:5">
      <c r="A167" s="65" t="s">
        <v>592</v>
      </c>
      <c r="B167" s="17" t="s">
        <v>593</v>
      </c>
      <c r="C167" s="71">
        <v>2323.2000000000003</v>
      </c>
      <c r="D167">
        <v>3056903584</v>
      </c>
      <c r="E167" s="65" t="s">
        <v>592</v>
      </c>
    </row>
    <row r="168" spans="1:5">
      <c r="A168" s="65" t="s">
        <v>594</v>
      </c>
      <c r="B168" s="17" t="s">
        <v>595</v>
      </c>
      <c r="C168" s="71">
        <v>1548.8000000000002</v>
      </c>
      <c r="D168">
        <v>3039471496</v>
      </c>
      <c r="E168" s="65" t="s">
        <v>594</v>
      </c>
    </row>
    <row r="169" spans="1:5">
      <c r="A169" s="65" t="s">
        <v>596</v>
      </c>
      <c r="B169" s="17" t="s">
        <v>597</v>
      </c>
      <c r="C169" s="71">
        <v>774.40000000000009</v>
      </c>
      <c r="D169" s="6">
        <v>3036282449</v>
      </c>
      <c r="E169" s="65" t="s">
        <v>596</v>
      </c>
    </row>
    <row r="170" spans="1:5">
      <c r="A170" s="65" t="s">
        <v>598</v>
      </c>
      <c r="B170" s="17" t="s">
        <v>599</v>
      </c>
      <c r="C170" s="71">
        <v>80000</v>
      </c>
      <c r="D170">
        <v>3015251445</v>
      </c>
      <c r="E170" s="65" t="s">
        <v>598</v>
      </c>
    </row>
    <row r="171" spans="1:5">
      <c r="A171" s="65" t="s">
        <v>600</v>
      </c>
      <c r="B171" s="17" t="s">
        <v>716</v>
      </c>
      <c r="C171" s="71">
        <v>300000</v>
      </c>
      <c r="D171">
        <v>3036132333</v>
      </c>
      <c r="E171" s="65" t="s">
        <v>600</v>
      </c>
    </row>
    <row r="172" spans="1:5">
      <c r="A172" s="65" t="s">
        <v>608</v>
      </c>
      <c r="B172" s="17" t="s">
        <v>608</v>
      </c>
      <c r="C172" s="71">
        <v>152433.49625</v>
      </c>
      <c r="D172">
        <v>3032397606</v>
      </c>
      <c r="E172" s="65" t="s">
        <v>608</v>
      </c>
    </row>
    <row r="173" spans="1:5">
      <c r="A173" s="65" t="s">
        <v>612</v>
      </c>
      <c r="B173" s="17" t="s">
        <v>613</v>
      </c>
      <c r="C173" s="71">
        <v>3.95</v>
      </c>
      <c r="D173">
        <v>3063686995</v>
      </c>
      <c r="E173" s="65" t="s">
        <v>612</v>
      </c>
    </row>
    <row r="174" spans="1:5">
      <c r="A174" s="65" t="s">
        <v>614</v>
      </c>
      <c r="B174" s="17" t="s">
        <v>615</v>
      </c>
      <c r="C174" s="71">
        <v>4.1715</v>
      </c>
      <c r="D174">
        <v>3040403128</v>
      </c>
      <c r="E174" s="65" t="s">
        <v>614</v>
      </c>
    </row>
    <row r="175" spans="1:5">
      <c r="A175" s="65" t="s">
        <v>616</v>
      </c>
      <c r="B175" s="17" t="s">
        <v>617</v>
      </c>
      <c r="C175" s="71">
        <v>4.5</v>
      </c>
      <c r="D175">
        <v>3081879468</v>
      </c>
      <c r="E175" s="65" t="s">
        <v>616</v>
      </c>
    </row>
    <row r="176" spans="1:5">
      <c r="A176" s="65" t="s">
        <v>618</v>
      </c>
      <c r="B176" s="17" t="s">
        <v>619</v>
      </c>
      <c r="C176" s="71">
        <v>4.72</v>
      </c>
      <c r="D176">
        <v>3066834014</v>
      </c>
      <c r="E176" s="65" t="s">
        <v>618</v>
      </c>
    </row>
    <row r="177" spans="1:5">
      <c r="A177" s="65" t="s">
        <v>620</v>
      </c>
      <c r="B177" s="17" t="s">
        <v>621</v>
      </c>
      <c r="C177" s="71">
        <v>6</v>
      </c>
      <c r="D177">
        <v>3024805236</v>
      </c>
      <c r="E177" s="65" t="s">
        <v>620</v>
      </c>
    </row>
    <row r="178" spans="1:5">
      <c r="A178" s="65" t="s">
        <v>622</v>
      </c>
      <c r="B178" s="17" t="s">
        <v>623</v>
      </c>
      <c r="C178" s="71">
        <v>193.52924999999999</v>
      </c>
      <c r="D178">
        <v>3034351841</v>
      </c>
      <c r="E178" s="65" t="s">
        <v>622</v>
      </c>
    </row>
    <row r="179" spans="1:5">
      <c r="A179" s="65" t="s">
        <v>624</v>
      </c>
      <c r="B179" s="17" t="s">
        <v>625</v>
      </c>
      <c r="C179" s="71">
        <v>211</v>
      </c>
      <c r="D179">
        <v>3077725595</v>
      </c>
      <c r="E179" s="65" t="s">
        <v>624</v>
      </c>
    </row>
    <row r="180" spans="1:5">
      <c r="A180" s="65" t="s">
        <v>626</v>
      </c>
      <c r="B180" s="17" t="s">
        <v>627</v>
      </c>
      <c r="C180" s="71">
        <v>5.81175</v>
      </c>
      <c r="D180">
        <v>3014904444</v>
      </c>
      <c r="E180" s="65" t="s">
        <v>626</v>
      </c>
    </row>
    <row r="181" spans="1:5">
      <c r="A181" s="65" t="s">
        <v>628</v>
      </c>
      <c r="B181" s="17" t="s">
        <v>629</v>
      </c>
      <c r="C181" s="71">
        <v>5.81175</v>
      </c>
      <c r="D181">
        <v>3083057969</v>
      </c>
      <c r="E181" s="65" t="s">
        <v>628</v>
      </c>
    </row>
    <row r="182" spans="1:5">
      <c r="A182" s="65" t="s">
        <v>630</v>
      </c>
      <c r="B182" s="17" t="s">
        <v>631</v>
      </c>
      <c r="C182" s="71">
        <v>5.81175</v>
      </c>
      <c r="D182">
        <v>3033690639</v>
      </c>
      <c r="E182" s="65" t="s">
        <v>630</v>
      </c>
    </row>
    <row r="183" spans="1:5">
      <c r="A183" s="65" t="s">
        <v>632</v>
      </c>
      <c r="B183" s="17" t="s">
        <v>633</v>
      </c>
      <c r="C183" s="71">
        <v>272.5</v>
      </c>
      <c r="D183">
        <v>3020729413</v>
      </c>
      <c r="E183" s="65" t="s">
        <v>632</v>
      </c>
    </row>
    <row r="184" spans="1:5">
      <c r="A184" s="65" t="s">
        <v>635</v>
      </c>
      <c r="B184" s="17" t="s">
        <v>636</v>
      </c>
      <c r="C184" s="71">
        <v>272.5</v>
      </c>
      <c r="D184">
        <v>3082379855</v>
      </c>
      <c r="E184" s="65" t="s">
        <v>635</v>
      </c>
    </row>
    <row r="185" spans="1:5">
      <c r="A185" s="65" t="s">
        <v>637</v>
      </c>
      <c r="B185" s="17" t="s">
        <v>638</v>
      </c>
      <c r="C185" s="71">
        <v>343.17500000000001</v>
      </c>
      <c r="D185">
        <v>3033491276</v>
      </c>
      <c r="E185" s="65" t="s">
        <v>637</v>
      </c>
    </row>
    <row r="186" spans="1:5">
      <c r="A186" s="65" t="s">
        <v>639</v>
      </c>
      <c r="B186" s="17" t="s">
        <v>640</v>
      </c>
      <c r="C186" s="71">
        <v>160.32500000000005</v>
      </c>
      <c r="D186">
        <v>3038698884</v>
      </c>
      <c r="E186" s="65" t="s">
        <v>639</v>
      </c>
    </row>
    <row r="187" spans="1:5">
      <c r="A187" s="65" t="s">
        <v>641</v>
      </c>
      <c r="B187" s="17" t="s">
        <v>642</v>
      </c>
      <c r="C187" s="71">
        <v>843.75</v>
      </c>
      <c r="D187">
        <v>3029815923</v>
      </c>
      <c r="E187" s="65" t="s">
        <v>641</v>
      </c>
    </row>
    <row r="188" spans="1:5">
      <c r="A188" s="65" t="s">
        <v>643</v>
      </c>
      <c r="B188" s="17" t="s">
        <v>644</v>
      </c>
      <c r="C188" s="71">
        <v>958.65</v>
      </c>
      <c r="D188">
        <v>3051067639</v>
      </c>
      <c r="E188" s="65" t="s">
        <v>643</v>
      </c>
    </row>
    <row r="189" spans="1:5">
      <c r="A189" s="65" t="s">
        <v>645</v>
      </c>
      <c r="B189" s="17" t="s">
        <v>646</v>
      </c>
      <c r="C189" s="71">
        <v>162.5</v>
      </c>
      <c r="D189">
        <v>3049666899</v>
      </c>
      <c r="E189" s="65" t="s">
        <v>645</v>
      </c>
    </row>
    <row r="190" spans="1:5">
      <c r="A190" s="65" t="s">
        <v>647</v>
      </c>
      <c r="B190" s="17" t="s">
        <v>648</v>
      </c>
      <c r="C190" s="71">
        <v>168.75</v>
      </c>
      <c r="D190">
        <v>3071804270</v>
      </c>
      <c r="E190" s="65" t="s">
        <v>647</v>
      </c>
    </row>
    <row r="191" spans="1:5">
      <c r="A191" s="65" t="s">
        <v>649</v>
      </c>
      <c r="B191" s="17" t="s">
        <v>650</v>
      </c>
      <c r="C191" s="71">
        <v>608.75</v>
      </c>
      <c r="D191">
        <v>3065581368</v>
      </c>
      <c r="E191" s="65" t="s">
        <v>649</v>
      </c>
    </row>
    <row r="192" spans="1:5">
      <c r="A192" s="65" t="s">
        <v>651</v>
      </c>
      <c r="B192" s="17" t="s">
        <v>652</v>
      </c>
      <c r="C192" s="71">
        <v>457.5</v>
      </c>
      <c r="D192">
        <v>3024386089</v>
      </c>
      <c r="E192" s="65" t="s">
        <v>651</v>
      </c>
    </row>
    <row r="193" spans="1:5">
      <c r="A193" s="65" t="s">
        <v>653</v>
      </c>
      <c r="B193" s="17" t="s">
        <v>654</v>
      </c>
      <c r="C193" s="71">
        <v>1443.75</v>
      </c>
      <c r="D193">
        <v>3011573128</v>
      </c>
      <c r="E193" s="65" t="s">
        <v>653</v>
      </c>
    </row>
    <row r="194" spans="1:5">
      <c r="A194" s="65" t="s">
        <v>655</v>
      </c>
      <c r="B194" s="17" t="s">
        <v>656</v>
      </c>
      <c r="C194" s="71">
        <v>218.75</v>
      </c>
      <c r="D194">
        <v>3042710133</v>
      </c>
      <c r="E194" s="65" t="s">
        <v>655</v>
      </c>
    </row>
    <row r="195" spans="1:5">
      <c r="A195" s="65" t="s">
        <v>657</v>
      </c>
      <c r="B195" s="17" t="s">
        <v>658</v>
      </c>
      <c r="C195" s="71">
        <v>133.75</v>
      </c>
      <c r="D195">
        <v>3019463966</v>
      </c>
      <c r="E195" s="65" t="s">
        <v>657</v>
      </c>
    </row>
    <row r="196" spans="1:5">
      <c r="A196" s="65" t="s">
        <v>659</v>
      </c>
      <c r="B196" s="17" t="s">
        <v>660</v>
      </c>
      <c r="C196" s="71">
        <v>96.25</v>
      </c>
      <c r="D196">
        <v>3036613084</v>
      </c>
      <c r="E196" s="65" t="s">
        <v>659</v>
      </c>
    </row>
    <row r="197" spans="1:5">
      <c r="A197" s="65" t="s">
        <v>661</v>
      </c>
      <c r="B197" s="17" t="s">
        <v>662</v>
      </c>
      <c r="C197" s="71">
        <v>2018.72</v>
      </c>
      <c r="D197">
        <v>3092780679</v>
      </c>
      <c r="E197" s="65" t="s">
        <v>661</v>
      </c>
    </row>
    <row r="198" spans="1:5">
      <c r="A198" s="65" t="s">
        <v>663</v>
      </c>
      <c r="B198" s="17" t="s">
        <v>664</v>
      </c>
      <c r="C198" s="71">
        <v>958.28</v>
      </c>
      <c r="D198">
        <v>3053510326</v>
      </c>
      <c r="E198" s="65" t="s">
        <v>663</v>
      </c>
    </row>
    <row r="199" spans="1:5">
      <c r="A199" s="65" t="s">
        <v>665</v>
      </c>
      <c r="B199" s="17" t="s">
        <v>665</v>
      </c>
      <c r="C199" s="71">
        <v>269.02999999999997</v>
      </c>
      <c r="D199">
        <v>3026816154</v>
      </c>
      <c r="E199" s="65" t="s">
        <v>665</v>
      </c>
    </row>
    <row r="200" spans="1:5">
      <c r="A200" s="65" t="s">
        <v>666</v>
      </c>
      <c r="B200" s="17" t="s">
        <v>667</v>
      </c>
      <c r="C200" s="71">
        <v>2836.44</v>
      </c>
      <c r="D200">
        <v>3022785468</v>
      </c>
      <c r="E200" s="65" t="s">
        <v>666</v>
      </c>
    </row>
    <row r="201" spans="1:5">
      <c r="A201" s="65" t="s">
        <v>668</v>
      </c>
      <c r="B201" s="17" t="s">
        <v>669</v>
      </c>
      <c r="C201" s="71">
        <v>0</v>
      </c>
      <c r="D201">
        <v>3080346198</v>
      </c>
      <c r="E201" s="65" t="s">
        <v>668</v>
      </c>
    </row>
    <row r="202" spans="1:5">
      <c r="A202" s="65" t="s">
        <v>670</v>
      </c>
      <c r="B202" s="17" t="s">
        <v>671</v>
      </c>
      <c r="C202" s="71">
        <v>235</v>
      </c>
      <c r="D202">
        <v>3060155800</v>
      </c>
      <c r="E202" s="65" t="s">
        <v>670</v>
      </c>
    </row>
    <row r="203" spans="1:5">
      <c r="A203" s="65" t="s">
        <v>672</v>
      </c>
      <c r="B203" s="17" t="s">
        <v>673</v>
      </c>
      <c r="C203" s="71">
        <v>19.2</v>
      </c>
      <c r="D203">
        <v>3093715166</v>
      </c>
      <c r="E203" s="65" t="s">
        <v>672</v>
      </c>
    </row>
    <row r="204" spans="1:5">
      <c r="A204" s="65" t="s">
        <v>674</v>
      </c>
      <c r="B204" s="17" t="s">
        <v>675</v>
      </c>
      <c r="C204" s="71">
        <v>3.39</v>
      </c>
      <c r="D204">
        <v>3017953528</v>
      </c>
      <c r="E204" s="65" t="s">
        <v>674</v>
      </c>
    </row>
    <row r="205" spans="1:5">
      <c r="A205" s="65" t="s">
        <v>676</v>
      </c>
      <c r="B205" s="17" t="s">
        <v>677</v>
      </c>
      <c r="C205" s="71">
        <v>161.69999999999999</v>
      </c>
      <c r="D205">
        <v>3073035963</v>
      </c>
      <c r="E205" s="65" t="s">
        <v>676</v>
      </c>
    </row>
    <row r="206" spans="1:5">
      <c r="A206" s="65" t="s">
        <v>678</v>
      </c>
      <c r="B206" s="17" t="s">
        <v>679</v>
      </c>
      <c r="C206" s="71">
        <v>19.2</v>
      </c>
      <c r="D206" s="6">
        <v>3015552857</v>
      </c>
      <c r="E206" s="65" t="s">
        <v>678</v>
      </c>
    </row>
    <row r="207" spans="1:5">
      <c r="A207" s="65" t="s">
        <v>680</v>
      </c>
      <c r="B207" s="17" t="s">
        <v>681</v>
      </c>
      <c r="C207" s="71">
        <v>3.39</v>
      </c>
      <c r="D207" s="6">
        <v>3022654685</v>
      </c>
      <c r="E207" s="65" t="s">
        <v>680</v>
      </c>
    </row>
    <row r="208" spans="1:5">
      <c r="A208" s="65" t="s">
        <v>682</v>
      </c>
      <c r="B208" s="17" t="s">
        <v>683</v>
      </c>
      <c r="C208" s="71">
        <v>144.4</v>
      </c>
      <c r="D208" s="6">
        <v>3017431784</v>
      </c>
      <c r="E208" s="65" t="s">
        <v>682</v>
      </c>
    </row>
    <row r="209" spans="1:5">
      <c r="A209" s="65" t="s">
        <v>684</v>
      </c>
      <c r="B209" s="17" t="s">
        <v>685</v>
      </c>
      <c r="C209" s="71">
        <v>5601.75</v>
      </c>
      <c r="D209" s="6">
        <v>3030879119</v>
      </c>
      <c r="E209" s="65" t="s">
        <v>684</v>
      </c>
    </row>
    <row r="210" spans="1:5">
      <c r="A210" s="65" t="s">
        <v>686</v>
      </c>
      <c r="B210" s="17" t="s">
        <v>686</v>
      </c>
      <c r="C210" s="71">
        <v>148.22999999999999</v>
      </c>
      <c r="D210" s="6">
        <v>3056416201</v>
      </c>
      <c r="E210" s="65" t="s">
        <v>686</v>
      </c>
    </row>
    <row r="211" spans="1:5">
      <c r="A211" s="65" t="s">
        <v>687</v>
      </c>
      <c r="B211" s="17" t="s">
        <v>688</v>
      </c>
      <c r="C211" s="71">
        <v>187.14</v>
      </c>
      <c r="D211">
        <v>3084723953</v>
      </c>
      <c r="E211" s="65" t="s">
        <v>687</v>
      </c>
    </row>
    <row r="212" spans="1:5">
      <c r="A212" s="65" t="s">
        <v>689</v>
      </c>
      <c r="B212" s="17" t="s">
        <v>690</v>
      </c>
      <c r="C212" s="71">
        <v>68.489999999999995</v>
      </c>
      <c r="D212">
        <v>3045568832</v>
      </c>
      <c r="E212" s="65" t="s">
        <v>689</v>
      </c>
    </row>
    <row r="213" spans="1:5">
      <c r="A213" s="113" t="s">
        <v>709</v>
      </c>
      <c r="C213" s="114">
        <v>3984</v>
      </c>
      <c r="D213" s="113">
        <v>3025958050</v>
      </c>
      <c r="E213" s="113" t="s">
        <v>709</v>
      </c>
    </row>
    <row r="214" spans="1:5">
      <c r="A214" t="s">
        <v>744</v>
      </c>
      <c r="C214" s="97">
        <v>966604.80000000005</v>
      </c>
      <c r="D214">
        <v>3083845282</v>
      </c>
      <c r="E214" t="s">
        <v>744</v>
      </c>
    </row>
    <row r="215" spans="1:5">
      <c r="A215" t="s">
        <v>746</v>
      </c>
      <c r="C215" s="97">
        <v>18300</v>
      </c>
      <c r="D215">
        <v>3025958047</v>
      </c>
      <c r="E215" t="s">
        <v>746</v>
      </c>
    </row>
    <row r="216" spans="1:5">
      <c r="A216" t="s">
        <v>719</v>
      </c>
      <c r="C216" s="97">
        <v>1371955.2</v>
      </c>
      <c r="D216">
        <v>3083845283</v>
      </c>
      <c r="E216" t="s">
        <v>719</v>
      </c>
    </row>
    <row r="217" spans="1:5">
      <c r="A217" t="s">
        <v>759</v>
      </c>
      <c r="C217" s="97">
        <v>537600</v>
      </c>
      <c r="D217">
        <v>3083845281</v>
      </c>
      <c r="E217" t="s">
        <v>759</v>
      </c>
    </row>
    <row r="218" spans="1:5">
      <c r="A218" t="s">
        <v>744</v>
      </c>
      <c r="C218" s="97">
        <v>966604.80000000005</v>
      </c>
      <c r="D218">
        <v>3083845282</v>
      </c>
      <c r="E218" t="s">
        <v>744</v>
      </c>
    </row>
    <row r="219" spans="1:5">
      <c r="A219" t="s">
        <v>785</v>
      </c>
      <c r="C219" s="97">
        <v>74088</v>
      </c>
      <c r="D219">
        <v>3083845280</v>
      </c>
      <c r="E219" t="s">
        <v>785</v>
      </c>
    </row>
    <row r="220" spans="1:5">
      <c r="A220" t="s">
        <v>787</v>
      </c>
      <c r="C220" s="97">
        <v>27057.439999999999</v>
      </c>
      <c r="D220">
        <v>3025958046</v>
      </c>
      <c r="E220" t="s">
        <v>787</v>
      </c>
    </row>
  </sheetData>
  <autoFilter ref="A1:D217" xr:uid="{0B08C333-9BDC-4517-96BC-C72EE3173E28}"/>
  <conditionalFormatting sqref="A67:A68">
    <cfRule type="duplicateValues" dxfId="14" priority="7"/>
  </conditionalFormatting>
  <conditionalFormatting sqref="A88">
    <cfRule type="duplicateValues" dxfId="13" priority="8"/>
  </conditionalFormatting>
  <conditionalFormatting sqref="A91:A92">
    <cfRule type="duplicateValues" dxfId="12" priority="9"/>
  </conditionalFormatting>
  <conditionalFormatting sqref="A219:A220">
    <cfRule type="duplicateValues" dxfId="11" priority="5"/>
  </conditionalFormatting>
  <conditionalFormatting sqref="B221:B1048576 B1">
    <cfRule type="duplicateValues" dxfId="10" priority="11"/>
  </conditionalFormatting>
  <conditionalFormatting sqref="C1">
    <cfRule type="duplicateValues" dxfId="9" priority="10"/>
  </conditionalFormatting>
  <conditionalFormatting sqref="D1">
    <cfRule type="duplicateValues" dxfId="8" priority="6"/>
  </conditionalFormatting>
  <conditionalFormatting sqref="E67:E68">
    <cfRule type="duplicateValues" dxfId="7" priority="2"/>
  </conditionalFormatting>
  <conditionalFormatting sqref="E88">
    <cfRule type="duplicateValues" dxfId="6" priority="3"/>
  </conditionalFormatting>
  <conditionalFormatting sqref="E91:E92">
    <cfRule type="duplicateValues" dxfId="5" priority="4"/>
  </conditionalFormatting>
  <conditionalFormatting sqref="E219:E220">
    <cfRule type="duplicateValues" dxfId="4" priority="1"/>
  </conditionalFormatting>
  <dataValidations count="1">
    <dataValidation allowBlank="1" showInputMessage="1" showErrorMessage="1" sqref="A53 A15 A40:B40 A101 A55:A56 A95:A97 A63 A111 A105:A108 A93 E53 E15 E40 E101 E55:E56 E95:E97 E63 E111 E105:E108 E93" xr:uid="{24C39B16-8531-461E-B2F1-C80AA01786A2}"/>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9886D-7359-49FE-B572-4A6FD6635394}">
  <dimension ref="A5:J231"/>
  <sheetViews>
    <sheetView zoomScale="74" zoomScaleNormal="80" workbookViewId="0">
      <selection activeCell="F25" sqref="F25"/>
    </sheetView>
  </sheetViews>
  <sheetFormatPr defaultColWidth="8.85546875" defaultRowHeight="15"/>
  <cols>
    <col min="3" max="3" width="19.42578125" customWidth="1"/>
    <col min="4" max="4" width="61.42578125" customWidth="1"/>
    <col min="5" max="5" width="2.140625" customWidth="1"/>
    <col min="6" max="6" width="106" customWidth="1"/>
    <col min="8" max="8" width="17.28515625" style="117" bestFit="1" customWidth="1"/>
    <col min="9" max="9" width="10" bestFit="1" customWidth="1"/>
    <col min="10" max="10" width="13.140625" bestFit="1" customWidth="1"/>
  </cols>
  <sheetData>
    <row r="5" spans="1:10">
      <c r="A5" t="s">
        <v>691</v>
      </c>
      <c r="B5" t="s">
        <v>692</v>
      </c>
      <c r="C5" t="s">
        <v>693</v>
      </c>
      <c r="D5" t="s">
        <v>694</v>
      </c>
      <c r="E5" t="s">
        <v>695</v>
      </c>
      <c r="F5" t="s">
        <v>183</v>
      </c>
      <c r="G5" t="s">
        <v>696</v>
      </c>
      <c r="H5" s="117" t="s">
        <v>697</v>
      </c>
      <c r="I5" t="s">
        <v>810</v>
      </c>
      <c r="J5" t="s">
        <v>815</v>
      </c>
    </row>
    <row r="6" spans="1:10">
      <c r="A6">
        <v>5</v>
      </c>
      <c r="B6" t="s">
        <v>698</v>
      </c>
      <c r="C6">
        <v>3062610663</v>
      </c>
      <c r="D6" t="str">
        <f>VLOOKUP(C6,'Customer BoQ'!$D$2:$E$220,2,0)</f>
        <v>AGGv3 400G Bundle</v>
      </c>
      <c r="F6" t="s">
        <v>699</v>
      </c>
      <c r="G6" t="s">
        <v>700</v>
      </c>
      <c r="H6" s="117">
        <v>30117.360000000001</v>
      </c>
    </row>
    <row r="7" spans="1:10">
      <c r="A7">
        <v>102</v>
      </c>
      <c r="B7" t="s">
        <v>698</v>
      </c>
      <c r="C7">
        <v>3078335361</v>
      </c>
      <c r="D7" t="str">
        <f>VLOOKUP(C7,'Customer BoQ'!$D$2:$E$220,2,0)</f>
        <v>3HE14632AA</v>
      </c>
      <c r="F7" t="s">
        <v>452</v>
      </c>
      <c r="G7" t="s">
        <v>700</v>
      </c>
      <c r="H7" s="117">
        <v>100</v>
      </c>
    </row>
    <row r="8" spans="1:10">
      <c r="A8">
        <v>202</v>
      </c>
      <c r="B8" t="s">
        <v>698</v>
      </c>
      <c r="C8">
        <v>3017953528</v>
      </c>
      <c r="D8" t="str">
        <f>VLOOKUP(C8,'Customer BoQ'!$D$2:$E$220,2,0)</f>
        <v>Schneider/Nader Output Breakers (Standard-Type) - 63A</v>
      </c>
      <c r="F8" t="s">
        <v>675</v>
      </c>
      <c r="G8" t="s">
        <v>700</v>
      </c>
      <c r="H8" s="117">
        <v>3.39</v>
      </c>
    </row>
    <row r="9" spans="1:10">
      <c r="A9">
        <v>75</v>
      </c>
      <c r="B9" t="s">
        <v>698</v>
      </c>
      <c r="C9">
        <v>3061242563</v>
      </c>
      <c r="D9" t="str">
        <f>VLOOKUP(C9,'Customer BoQ'!$D$2:$E$220,2,0)</f>
        <v>3HE09327AA</v>
      </c>
      <c r="F9" t="s">
        <v>701</v>
      </c>
      <c r="G9" t="s">
        <v>700</v>
      </c>
      <c r="H9" s="117">
        <v>1462</v>
      </c>
    </row>
    <row r="10" spans="1:10">
      <c r="A10">
        <v>212</v>
      </c>
      <c r="B10" t="s">
        <v>698</v>
      </c>
      <c r="C10">
        <v>3063746227</v>
      </c>
      <c r="D10" t="str">
        <f>VLOOKUP(C10,'Customer BoQ'!$D$2:$E$220,2,0)</f>
        <v xml:space="preserve">CSG Link Shifting </v>
      </c>
      <c r="F10" t="s">
        <v>553</v>
      </c>
      <c r="G10" t="s">
        <v>700</v>
      </c>
      <c r="H10" s="117">
        <v>1800</v>
      </c>
    </row>
    <row r="11" spans="1:10">
      <c r="A11">
        <v>150</v>
      </c>
      <c r="B11" t="s">
        <v>698</v>
      </c>
      <c r="C11">
        <v>3043171899</v>
      </c>
      <c r="D11" t="str">
        <f>VLOOKUP(C11,'Customer BoQ'!$D$2:$E$220,2,0)</f>
        <v>Testbed Service</v>
      </c>
      <c r="F11" t="s">
        <v>702</v>
      </c>
      <c r="G11" t="s">
        <v>700</v>
      </c>
      <c r="H11" s="117">
        <v>0</v>
      </c>
    </row>
    <row r="12" spans="1:10">
      <c r="A12">
        <v>141</v>
      </c>
      <c r="B12" t="s">
        <v>698</v>
      </c>
      <c r="C12">
        <v>3074240543</v>
      </c>
      <c r="D12" t="str">
        <f>VLOOKUP(C12,'Customer BoQ'!$D$2:$E$220,2,0)</f>
        <v>CSG_v3 HW Installation &amp; Commissioning</v>
      </c>
      <c r="F12" t="s">
        <v>703</v>
      </c>
      <c r="G12" t="s">
        <v>700</v>
      </c>
      <c r="H12" s="117">
        <v>2004</v>
      </c>
    </row>
    <row r="13" spans="1:10">
      <c r="A13">
        <v>92</v>
      </c>
      <c r="B13" t="s">
        <v>698</v>
      </c>
      <c r="C13">
        <v>3073795830</v>
      </c>
      <c r="D13" t="str">
        <f>VLOOKUP(C13,'Customer BoQ'!$D$2:$E$220,2,0)</f>
        <v>3HE15809AA</v>
      </c>
      <c r="F13" t="s">
        <v>436</v>
      </c>
      <c r="G13" t="s">
        <v>700</v>
      </c>
      <c r="H13" s="117">
        <v>1000</v>
      </c>
    </row>
    <row r="14" spans="1:10">
      <c r="A14">
        <v>142</v>
      </c>
      <c r="B14" t="s">
        <v>698</v>
      </c>
      <c r="C14">
        <v>3097407090</v>
      </c>
      <c r="D14" t="str">
        <f>VLOOKUP(C14,'Customer BoQ'!$D$2:$E$220,2,0)</f>
        <v>CSG_v3 Migration</v>
      </c>
      <c r="F14" t="s">
        <v>704</v>
      </c>
      <c r="G14" t="s">
        <v>700</v>
      </c>
      <c r="H14" s="117">
        <v>988</v>
      </c>
    </row>
    <row r="15" spans="1:10">
      <c r="A15">
        <v>123</v>
      </c>
      <c r="B15" t="s">
        <v>698</v>
      </c>
      <c r="C15">
        <v>3098864750</v>
      </c>
      <c r="D15" t="str">
        <f>VLOOKUP(C15,'Customer BoQ'!$D$2:$E$220,2,0)</f>
        <v>SWAP Aggregation_PE_v1 (Replacement/Upgrade) Hot SWAP Migration</v>
      </c>
      <c r="F15" t="s">
        <v>705</v>
      </c>
      <c r="G15" t="s">
        <v>700</v>
      </c>
      <c r="H15" s="117">
        <v>0</v>
      </c>
    </row>
    <row r="16" spans="1:10">
      <c r="A16">
        <v>207</v>
      </c>
      <c r="B16" t="s">
        <v>698</v>
      </c>
      <c r="C16">
        <v>3030879119</v>
      </c>
      <c r="D16" t="str">
        <f>VLOOKUP(C16,'Customer BoQ'!$D$2:$E$220,2,0)</f>
        <v>Minor Upgrade of existing power system. ( Busbar - Cabling, etc )</v>
      </c>
      <c r="F16" t="s">
        <v>706</v>
      </c>
      <c r="G16" t="s">
        <v>700</v>
      </c>
      <c r="H16" s="117">
        <v>5601.75</v>
      </c>
    </row>
    <row r="17" spans="1:8">
      <c r="A17">
        <v>74</v>
      </c>
      <c r="B17" t="s">
        <v>698</v>
      </c>
      <c r="C17">
        <v>3029033430</v>
      </c>
      <c r="D17" t="str">
        <f>VLOOKUP(C17,'Customer BoQ'!$D$2:$E$220,2,0)</f>
        <v>3HE15377AA</v>
      </c>
      <c r="F17" t="s">
        <v>707</v>
      </c>
      <c r="G17" t="s">
        <v>700</v>
      </c>
      <c r="H17" s="117">
        <v>1713</v>
      </c>
    </row>
    <row r="18" spans="1:8">
      <c r="A18">
        <v>175</v>
      </c>
      <c r="B18" t="s">
        <v>698</v>
      </c>
      <c r="C18">
        <v>3024805236</v>
      </c>
      <c r="D18" t="str">
        <f>VLOOKUP(C18,'Customer BoQ'!$D$2:$E$220,2,0)</f>
        <v>1AB407580013</v>
      </c>
      <c r="F18" t="s">
        <v>621</v>
      </c>
      <c r="G18" t="s">
        <v>700</v>
      </c>
      <c r="H18" s="117">
        <v>6</v>
      </c>
    </row>
    <row r="19" spans="1:8">
      <c r="A19">
        <v>204</v>
      </c>
      <c r="B19" t="s">
        <v>698</v>
      </c>
      <c r="C19">
        <v>3015552857</v>
      </c>
      <c r="D19" t="str">
        <f>VLOOKUP(C19,'Customer BoQ'!$D$2:$E$220,2,0)</f>
        <v>CBI/Nader Output Breakers (Slim-Type) - 100A</v>
      </c>
      <c r="F19" t="s">
        <v>708</v>
      </c>
      <c r="G19" t="s">
        <v>700</v>
      </c>
      <c r="H19" s="117">
        <v>19.2</v>
      </c>
    </row>
    <row r="20" spans="1:8">
      <c r="A20">
        <v>153</v>
      </c>
      <c r="B20" t="s">
        <v>698</v>
      </c>
      <c r="C20">
        <v>3060227629</v>
      </c>
      <c r="D20" t="str">
        <f>VLOOKUP(C20,'Customer BoQ'!$D$2:$E$220,2,0)</f>
        <v>Professional Services package for Deepfield Platform customization</v>
      </c>
      <c r="F20" t="s">
        <v>571</v>
      </c>
      <c r="G20" t="s">
        <v>700</v>
      </c>
      <c r="H20" s="117">
        <v>24000</v>
      </c>
    </row>
    <row r="21" spans="1:8">
      <c r="A21">
        <v>91</v>
      </c>
      <c r="B21" t="s">
        <v>698</v>
      </c>
      <c r="C21">
        <v>3011201891</v>
      </c>
      <c r="D21" t="str">
        <f>VLOOKUP(C21,'Customer BoQ'!$D$2:$E$220,2,0)</f>
        <v>3HE15808AA</v>
      </c>
      <c r="F21" t="s">
        <v>434</v>
      </c>
      <c r="G21" t="s">
        <v>700</v>
      </c>
      <c r="H21" s="117">
        <v>1000</v>
      </c>
    </row>
    <row r="22" spans="1:8">
      <c r="A22">
        <v>225</v>
      </c>
      <c r="B22" t="s">
        <v>698</v>
      </c>
      <c r="C22">
        <v>3025958050</v>
      </c>
      <c r="D22" t="str">
        <f>VLOOKUP(C22,'Customer BoQ'!$D$2:$E$220,2,0)</f>
        <v>Upgrade the BNG node from Release 16 to Release 22</v>
      </c>
      <c r="F22" t="s">
        <v>709</v>
      </c>
      <c r="G22" t="s">
        <v>700</v>
      </c>
      <c r="H22" s="117">
        <v>3984</v>
      </c>
    </row>
    <row r="23" spans="1:8">
      <c r="A23">
        <v>78</v>
      </c>
      <c r="B23" t="s">
        <v>698</v>
      </c>
      <c r="C23">
        <v>3019542500</v>
      </c>
      <c r="D23" t="str">
        <f>VLOOKUP(C23,'Customer BoQ'!$D$2:$E$220,2,0)</f>
        <v>3HE00027CA</v>
      </c>
      <c r="F23" t="s">
        <v>710</v>
      </c>
      <c r="G23" t="s">
        <v>700</v>
      </c>
      <c r="H23" s="117">
        <v>30</v>
      </c>
    </row>
    <row r="24" spans="1:8">
      <c r="A24">
        <v>3</v>
      </c>
      <c r="B24" t="s">
        <v>698</v>
      </c>
      <c r="C24">
        <v>3063372685</v>
      </c>
      <c r="D24" t="str">
        <f>VLOOKUP(C24,'Customer BoQ'!$D$2:$E$220,2,0)</f>
        <v>AGGv3 Bundle</v>
      </c>
      <c r="F24" t="s">
        <v>711</v>
      </c>
      <c r="G24" t="s">
        <v>700</v>
      </c>
      <c r="H24" s="117">
        <v>75000</v>
      </c>
    </row>
    <row r="25" spans="1:8">
      <c r="A25">
        <v>120</v>
      </c>
      <c r="B25" t="s">
        <v>698</v>
      </c>
      <c r="C25">
        <v>3057585619</v>
      </c>
      <c r="D25" t="str">
        <f>VLOOKUP(C25,'Customer BoQ'!$D$2:$E$220,2,0)</f>
        <v>Aggregation_PE v3 Compact Installation &amp; Commissioning</v>
      </c>
      <c r="F25" t="s">
        <v>712</v>
      </c>
      <c r="G25" t="s">
        <v>700</v>
      </c>
      <c r="H25" s="117">
        <v>4400</v>
      </c>
    </row>
    <row r="26" spans="1:8">
      <c r="A26">
        <v>145</v>
      </c>
      <c r="B26" t="s">
        <v>698</v>
      </c>
      <c r="C26">
        <v>3037783100</v>
      </c>
      <c r="D26" t="str">
        <f>VLOOKUP(C26,'Customer BoQ'!$D$2:$E$220,2,0)</f>
        <v>Rehoming Services</v>
      </c>
      <c r="F26" t="s">
        <v>713</v>
      </c>
      <c r="G26" t="s">
        <v>700</v>
      </c>
      <c r="H26" s="117">
        <v>1800</v>
      </c>
    </row>
    <row r="27" spans="1:8">
      <c r="A27">
        <v>38</v>
      </c>
      <c r="B27" t="s">
        <v>698</v>
      </c>
      <c r="C27">
        <v>3083523407</v>
      </c>
      <c r="D27" t="str">
        <f>VLOOKUP(C27,'Customer BoQ'!$D$2:$E$220,2,0)</f>
        <v>3HE12032AA</v>
      </c>
      <c r="F27" t="s">
        <v>297</v>
      </c>
      <c r="G27" t="s">
        <v>700</v>
      </c>
      <c r="H27" s="117">
        <v>125</v>
      </c>
    </row>
    <row r="28" spans="1:8">
      <c r="A28">
        <v>184</v>
      </c>
      <c r="B28" t="s">
        <v>698</v>
      </c>
      <c r="C28">
        <v>3038698884</v>
      </c>
      <c r="D28" t="str">
        <f>VLOOKUP(C28,'Customer BoQ'!$D$2:$E$220,2,0)</f>
        <v>Nokia-Power-Upgrade- Single Rectifier Module Addition- Hardware-Delta</v>
      </c>
      <c r="F28" t="s">
        <v>640</v>
      </c>
      <c r="G28" t="s">
        <v>700</v>
      </c>
      <c r="H28" s="117">
        <v>160.33000000000001</v>
      </c>
    </row>
    <row r="29" spans="1:8">
      <c r="A29">
        <v>124</v>
      </c>
      <c r="B29" t="s">
        <v>698</v>
      </c>
      <c r="C29">
        <v>3050962400</v>
      </c>
      <c r="D29" t="str">
        <f>VLOOKUP(C29,'Customer BoQ'!$D$2:$E$220,2,0)</f>
        <v>SWAP Aggregation_PE_v2 (Replacement/Upgrade) Hot SWAP Migration</v>
      </c>
      <c r="F29" t="s">
        <v>714</v>
      </c>
      <c r="G29" t="s">
        <v>700</v>
      </c>
      <c r="H29" s="117">
        <v>30000</v>
      </c>
    </row>
    <row r="30" spans="1:8">
      <c r="A30">
        <v>12</v>
      </c>
      <c r="B30" t="s">
        <v>698</v>
      </c>
      <c r="C30">
        <v>3011417115</v>
      </c>
      <c r="D30" t="str">
        <f>VLOOKUP(C30,'Customer BoQ'!$D$2:$E$220,2,0)</f>
        <v>3HE13956AA</v>
      </c>
      <c r="F30" t="s">
        <v>253</v>
      </c>
      <c r="G30" t="s">
        <v>700</v>
      </c>
      <c r="H30" s="117">
        <v>26000</v>
      </c>
    </row>
    <row r="31" spans="1:8">
      <c r="A31">
        <v>71</v>
      </c>
      <c r="B31" t="s">
        <v>698</v>
      </c>
      <c r="C31">
        <v>3083107407</v>
      </c>
      <c r="D31" t="str">
        <f>VLOOKUP(C31,'Customer BoQ'!$D$2:$E$220,2,0)</f>
        <v>3HE11239AA</v>
      </c>
      <c r="F31" t="s">
        <v>715</v>
      </c>
      <c r="G31" t="s">
        <v>700</v>
      </c>
      <c r="H31" s="117">
        <v>4300</v>
      </c>
    </row>
    <row r="32" spans="1:8">
      <c r="A32">
        <v>196</v>
      </c>
      <c r="B32" t="s">
        <v>698</v>
      </c>
      <c r="C32">
        <v>3053510326</v>
      </c>
      <c r="D32" t="str">
        <f>VLOOKUP(C32,'Customer BoQ'!$D$2:$E$220,2,0)</f>
        <v>Installation &amp; commissioning of Indoor Power Cabinet 12KW</v>
      </c>
      <c r="F32" t="s">
        <v>664</v>
      </c>
      <c r="G32" t="s">
        <v>700</v>
      </c>
      <c r="H32" s="117">
        <v>958.28</v>
      </c>
    </row>
    <row r="33" spans="1:8">
      <c r="A33">
        <v>168</v>
      </c>
      <c r="B33" t="s">
        <v>698</v>
      </c>
      <c r="C33">
        <v>3036132333</v>
      </c>
      <c r="D33" t="str">
        <f>VLOOKUP(C33,'Customer BoQ'!$D$2:$E$220,2,0)</f>
        <v>Nokia NMS_upgrade SRS</v>
      </c>
      <c r="F33" t="s">
        <v>716</v>
      </c>
      <c r="G33" t="s">
        <v>700</v>
      </c>
      <c r="H33" s="117">
        <v>300000</v>
      </c>
    </row>
    <row r="34" spans="1:8">
      <c r="A34">
        <v>90</v>
      </c>
      <c r="B34" t="s">
        <v>698</v>
      </c>
      <c r="C34">
        <v>3035608331</v>
      </c>
      <c r="D34" t="str">
        <f>VLOOKUP(C34,'Customer BoQ'!$D$2:$E$220,2,0)</f>
        <v>100G QSFP28 Upgrade Bundle</v>
      </c>
      <c r="F34" t="s">
        <v>717</v>
      </c>
      <c r="G34" t="s">
        <v>700</v>
      </c>
      <c r="H34" s="117">
        <v>15000</v>
      </c>
    </row>
    <row r="35" spans="1:8">
      <c r="A35">
        <v>29</v>
      </c>
      <c r="B35" t="s">
        <v>698</v>
      </c>
      <c r="C35">
        <v>3046558993</v>
      </c>
      <c r="D35" t="str">
        <f>VLOOKUP(C35,'Customer BoQ'!$D$2:$E$220,2,0)</f>
        <v>AGG_SR7/12E_Upgrade_25G</v>
      </c>
      <c r="F35" t="s">
        <v>718</v>
      </c>
      <c r="G35" t="s">
        <v>700</v>
      </c>
      <c r="H35" s="117">
        <v>17004</v>
      </c>
    </row>
    <row r="36" spans="1:8">
      <c r="A36">
        <v>111</v>
      </c>
      <c r="B36" t="s">
        <v>698</v>
      </c>
      <c r="C36">
        <v>3081360242</v>
      </c>
      <c r="D36" t="str">
        <f>VLOOKUP(C36,'Customer BoQ'!$D$2:$E$220,2,0)</f>
        <v>3HE16017AA</v>
      </c>
      <c r="F36" t="s">
        <v>485</v>
      </c>
      <c r="G36" t="s">
        <v>700</v>
      </c>
      <c r="H36" s="117">
        <v>225</v>
      </c>
    </row>
    <row r="37" spans="1:8">
      <c r="A37">
        <v>154</v>
      </c>
      <c r="B37" t="s">
        <v>698</v>
      </c>
      <c r="C37">
        <v>3034479211</v>
      </c>
      <c r="D37" t="str">
        <f>VLOOKUP(C37,'Customer BoQ'!$D$2:$E$220,2,0)</f>
        <v>Nokia-Training</v>
      </c>
      <c r="F37" t="s">
        <v>573</v>
      </c>
      <c r="G37" t="s">
        <v>700</v>
      </c>
      <c r="H37" s="117">
        <v>0</v>
      </c>
    </row>
    <row r="38" spans="1:8">
      <c r="A38">
        <v>180</v>
      </c>
      <c r="B38" t="s">
        <v>698</v>
      </c>
      <c r="C38">
        <v>3033690639</v>
      </c>
      <c r="D38" t="str">
        <f>VLOOKUP(C38,'Customer BoQ'!$D$2:$E$220,2,0)</f>
        <v>3BK08960BA</v>
      </c>
      <c r="F38" t="s">
        <v>631</v>
      </c>
      <c r="G38" t="s">
        <v>700</v>
      </c>
      <c r="H38" s="117">
        <v>5.81</v>
      </c>
    </row>
    <row r="39" spans="1:8">
      <c r="A39">
        <v>35</v>
      </c>
      <c r="B39" t="s">
        <v>698</v>
      </c>
      <c r="C39">
        <v>3050506911</v>
      </c>
      <c r="D39" t="str">
        <f>VLOOKUP(C39,'Customer BoQ'!$D$2:$E$220,2,0)</f>
        <v>3HE15151AA</v>
      </c>
      <c r="F39" t="s">
        <v>284</v>
      </c>
      <c r="G39" t="s">
        <v>700</v>
      </c>
      <c r="H39" s="117">
        <v>21600</v>
      </c>
    </row>
    <row r="40" spans="1:8">
      <c r="A40">
        <v>186</v>
      </c>
      <c r="B40" t="s">
        <v>698</v>
      </c>
      <c r="C40">
        <v>3051067639</v>
      </c>
      <c r="D40" t="str">
        <f>VLOOKUP(C40,'Customer BoQ'!$D$2:$E$220,2,0)</f>
        <v>Nokia-Rack-19U</v>
      </c>
      <c r="F40" t="s">
        <v>644</v>
      </c>
      <c r="G40" t="s">
        <v>700</v>
      </c>
      <c r="H40" s="117">
        <v>958.65</v>
      </c>
    </row>
    <row r="41" spans="1:8">
      <c r="A41">
        <v>190</v>
      </c>
      <c r="B41" t="s">
        <v>698</v>
      </c>
      <c r="C41">
        <v>3024386089</v>
      </c>
      <c r="D41" t="str">
        <f>VLOOKUP(C41,'Customer BoQ'!$D$2:$E$220,2,0)</f>
        <v>ODF Patch panels (96)</v>
      </c>
      <c r="F41" t="s">
        <v>652</v>
      </c>
      <c r="G41" t="s">
        <v>700</v>
      </c>
      <c r="H41" s="117">
        <v>457.5</v>
      </c>
    </row>
    <row r="42" spans="1:8">
      <c r="A42">
        <v>20</v>
      </c>
      <c r="B42" t="s">
        <v>698</v>
      </c>
      <c r="C42">
        <v>3074418269</v>
      </c>
      <c r="D42" t="str">
        <f>VLOOKUP(C42,'Customer BoQ'!$D$2:$E$220,2,0)</f>
        <v>3HE14027BA</v>
      </c>
      <c r="F42" t="s">
        <v>199</v>
      </c>
      <c r="G42" t="s">
        <v>700</v>
      </c>
      <c r="H42" s="117">
        <v>59250</v>
      </c>
    </row>
    <row r="43" spans="1:8">
      <c r="A43">
        <v>201</v>
      </c>
      <c r="B43" t="s">
        <v>698</v>
      </c>
      <c r="C43">
        <v>3093715166</v>
      </c>
      <c r="D43" t="str">
        <f>VLOOKUP(C43,'Customer BoQ'!$D$2:$E$220,2,0)</f>
        <v>Schneider/Nader Output Breakers (Standard-Type) - 100A</v>
      </c>
      <c r="F43" t="s">
        <v>673</v>
      </c>
      <c r="G43" t="s">
        <v>700</v>
      </c>
      <c r="H43" s="117">
        <v>19.2</v>
      </c>
    </row>
    <row r="44" spans="1:8">
      <c r="A44">
        <v>220</v>
      </c>
      <c r="B44" t="s">
        <v>698</v>
      </c>
      <c r="C44">
        <v>3083845283</v>
      </c>
      <c r="D44" t="str">
        <f>VLOOKUP(C44,'Customer BoQ'!$D$2:$E$220,2,0)</f>
        <v>Deliver custom software artefacts of twenty-four sprints</v>
      </c>
      <c r="F44" t="s">
        <v>719</v>
      </c>
      <c r="G44" t="s">
        <v>700</v>
      </c>
      <c r="H44" s="117">
        <v>1371955.2</v>
      </c>
    </row>
    <row r="45" spans="1:8">
      <c r="A45">
        <v>51</v>
      </c>
      <c r="B45" t="s">
        <v>698</v>
      </c>
      <c r="C45">
        <v>3083292507</v>
      </c>
      <c r="D45" t="str">
        <f>VLOOKUP(C45,'Customer BoQ'!$D$2:$E$220,2,0)</f>
        <v>3HE11280AA</v>
      </c>
      <c r="F45" t="s">
        <v>333</v>
      </c>
      <c r="G45" t="s">
        <v>700</v>
      </c>
      <c r="H45" s="117">
        <v>6080</v>
      </c>
    </row>
    <row r="46" spans="1:8">
      <c r="A46">
        <v>23</v>
      </c>
      <c r="B46" t="s">
        <v>698</v>
      </c>
      <c r="C46">
        <v>3070977509</v>
      </c>
      <c r="D46" t="str">
        <f>VLOOKUP(C46,'Customer BoQ'!$D$2:$E$220,2,0)</f>
        <v>3HE12511AA</v>
      </c>
      <c r="F46" t="s">
        <v>229</v>
      </c>
      <c r="G46" t="s">
        <v>700</v>
      </c>
      <c r="H46" s="117">
        <v>17250</v>
      </c>
    </row>
    <row r="47" spans="1:8">
      <c r="A47">
        <v>37</v>
      </c>
      <c r="B47" t="s">
        <v>698</v>
      </c>
      <c r="C47">
        <v>3095894942</v>
      </c>
      <c r="D47" t="str">
        <f>VLOOKUP(C47,'Customer BoQ'!$D$2:$E$220,2,0)</f>
        <v>3HE13478AA</v>
      </c>
      <c r="F47" t="s">
        <v>294</v>
      </c>
      <c r="G47" t="s">
        <v>700</v>
      </c>
      <c r="H47" s="117">
        <v>20000</v>
      </c>
    </row>
    <row r="48" spans="1:8">
      <c r="A48">
        <v>48</v>
      </c>
      <c r="B48" t="s">
        <v>698</v>
      </c>
      <c r="C48">
        <v>3037284986</v>
      </c>
      <c r="D48" t="str">
        <f>VLOOKUP(C48,'Customer BoQ'!$D$2:$E$220,2,0)</f>
        <v>3HE16716AA</v>
      </c>
      <c r="F48" t="s">
        <v>346</v>
      </c>
      <c r="G48" t="s">
        <v>700</v>
      </c>
      <c r="H48" s="117">
        <v>19000</v>
      </c>
    </row>
    <row r="49" spans="1:10">
      <c r="A49">
        <v>138</v>
      </c>
      <c r="B49" t="s">
        <v>698</v>
      </c>
      <c r="C49">
        <v>3057727665</v>
      </c>
      <c r="D49" t="str">
        <f>VLOOKUP(C49,'Customer BoQ'!$D$2:$E$220,2,0)</f>
        <v>CSG_v1 Migration</v>
      </c>
      <c r="F49" t="s">
        <v>720</v>
      </c>
      <c r="G49" t="s">
        <v>700</v>
      </c>
      <c r="H49" s="117">
        <v>988</v>
      </c>
    </row>
    <row r="50" spans="1:10">
      <c r="A50">
        <v>206</v>
      </c>
      <c r="B50" t="s">
        <v>698</v>
      </c>
      <c r="C50">
        <v>3017431784</v>
      </c>
      <c r="D50" t="str">
        <f>VLOOKUP(C50,'Customer BoQ'!$D$2:$E$220,2,0)</f>
        <v>CBI/Nader Output Breakers (Slim-Type) - 32A</v>
      </c>
      <c r="F50" t="s">
        <v>721</v>
      </c>
      <c r="G50" t="s">
        <v>700</v>
      </c>
      <c r="H50" s="117">
        <v>144.4</v>
      </c>
    </row>
    <row r="51" spans="1:10">
      <c r="A51">
        <v>199</v>
      </c>
      <c r="B51" t="s">
        <v>698</v>
      </c>
      <c r="C51">
        <v>3080346198</v>
      </c>
      <c r="D51" t="str">
        <f>VLOOKUP(C51,'Customer BoQ'!$D$2:$E$220,2,0)</f>
        <v>Temporary DC System Installation</v>
      </c>
      <c r="F51" t="s">
        <v>669</v>
      </c>
      <c r="G51" t="s">
        <v>700</v>
      </c>
      <c r="H51" s="117">
        <v>0</v>
      </c>
    </row>
    <row r="52" spans="1:10">
      <c r="A52">
        <v>192</v>
      </c>
      <c r="B52" t="s">
        <v>698</v>
      </c>
      <c r="C52">
        <v>3042710133</v>
      </c>
      <c r="D52" t="str">
        <f>VLOOKUP(C52,'Customer BoQ'!$D$2:$E$220,2,0)</f>
        <v>ODF Patch panels (48)</v>
      </c>
      <c r="F52" t="s">
        <v>656</v>
      </c>
      <c r="G52" t="s">
        <v>700</v>
      </c>
      <c r="H52" s="117">
        <v>218.75</v>
      </c>
    </row>
    <row r="53" spans="1:10">
      <c r="A53">
        <v>59</v>
      </c>
      <c r="B53" t="s">
        <v>698</v>
      </c>
      <c r="C53">
        <v>3079112026</v>
      </c>
      <c r="D53" t="str">
        <f>VLOOKUP(C53,'Customer BoQ'!$D$2:$E$220,2,0)</f>
        <v>7210 SAS-Sx Bundle</v>
      </c>
      <c r="F53" t="s">
        <v>722</v>
      </c>
      <c r="G53" t="s">
        <v>700</v>
      </c>
      <c r="H53" s="117">
        <v>18000</v>
      </c>
    </row>
    <row r="54" spans="1:10">
      <c r="A54">
        <v>66</v>
      </c>
      <c r="B54" t="s">
        <v>698</v>
      </c>
      <c r="C54">
        <v>3047816045</v>
      </c>
      <c r="D54" t="str">
        <f>VLOOKUP(C54,'Customer BoQ'!$D$2:$E$220,2,0)</f>
        <v>3HE16565AA</v>
      </c>
      <c r="F54" t="s">
        <v>723</v>
      </c>
      <c r="G54" t="s">
        <v>700</v>
      </c>
      <c r="H54" s="117">
        <v>9200</v>
      </c>
    </row>
    <row r="55" spans="1:10">
      <c r="A55">
        <v>181</v>
      </c>
      <c r="B55" t="s">
        <v>698</v>
      </c>
      <c r="C55">
        <v>3020729413</v>
      </c>
      <c r="D55" t="str">
        <f>VLOOKUP(C55,'Customer BoQ'!$D$2:$E$220,2,0)</f>
        <v>Nokia-Power-Upgrade- Single Battery Cell Addition- Hardware (150 Ah)</v>
      </c>
      <c r="F55" t="s">
        <v>633</v>
      </c>
      <c r="G55" t="s">
        <v>700</v>
      </c>
      <c r="H55" s="117">
        <v>272.5</v>
      </c>
    </row>
    <row r="56" spans="1:10">
      <c r="A56">
        <v>185</v>
      </c>
      <c r="B56" t="s">
        <v>698</v>
      </c>
      <c r="C56">
        <v>3029815923</v>
      </c>
      <c r="D56" t="str">
        <f>VLOOKUP(C56,'Customer BoQ'!$D$2:$E$220,2,0)</f>
        <v>Nokia-Rack-42U</v>
      </c>
      <c r="F56" t="s">
        <v>642</v>
      </c>
      <c r="G56" t="s">
        <v>700</v>
      </c>
      <c r="H56" s="117">
        <v>843.75</v>
      </c>
    </row>
    <row r="57" spans="1:10">
      <c r="A57">
        <v>82</v>
      </c>
      <c r="B57" t="s">
        <v>698</v>
      </c>
      <c r="C57">
        <v>3031959162</v>
      </c>
      <c r="D57" t="str">
        <f>VLOOKUP(C57,'Customer BoQ'!$D$2:$E$220,2,0)</f>
        <v>3HE00062CB</v>
      </c>
      <c r="F57" t="s">
        <v>724</v>
      </c>
      <c r="G57" t="s">
        <v>700</v>
      </c>
      <c r="H57" s="117">
        <v>35</v>
      </c>
    </row>
    <row r="58" spans="1:10">
      <c r="A58">
        <v>149</v>
      </c>
      <c r="B58" t="s">
        <v>698</v>
      </c>
      <c r="C58">
        <v>3064904718</v>
      </c>
      <c r="D58" t="str">
        <f>VLOOKUP(C58,'Customer BoQ'!$D$2:$E$220,2,0)</f>
        <v xml:space="preserve">CSG_ISP_service per 100 meters </v>
      </c>
      <c r="F58" t="s">
        <v>563</v>
      </c>
      <c r="G58" t="s">
        <v>700</v>
      </c>
      <c r="H58" s="117">
        <v>680</v>
      </c>
    </row>
    <row r="59" spans="1:10">
      <c r="A59">
        <v>147</v>
      </c>
      <c r="B59" t="s">
        <v>698</v>
      </c>
      <c r="C59">
        <v>3023551258</v>
      </c>
      <c r="D59" t="str">
        <f>VLOOKUP(C59,'Customer BoQ'!$D$2:$E$220,2,0)</f>
        <v>BDS Migration</v>
      </c>
      <c r="F59" t="s">
        <v>559</v>
      </c>
      <c r="G59" t="s">
        <v>700</v>
      </c>
      <c r="H59" s="117">
        <v>1710</v>
      </c>
    </row>
    <row r="60" spans="1:10">
      <c r="A60">
        <v>157</v>
      </c>
      <c r="B60" t="s">
        <v>698</v>
      </c>
      <c r="C60">
        <v>3026609591</v>
      </c>
      <c r="D60" t="str">
        <f>VLOOKUP(C60,'Customer BoQ'!$D$2:$E$220,2,0)</f>
        <v>16 sprints</v>
      </c>
      <c r="F60" t="s">
        <v>725</v>
      </c>
      <c r="G60" t="s">
        <v>700</v>
      </c>
      <c r="H60" s="117">
        <v>966604.80000000005</v>
      </c>
    </row>
    <row r="61" spans="1:10">
      <c r="A61">
        <v>79</v>
      </c>
      <c r="B61" t="s">
        <v>698</v>
      </c>
      <c r="C61">
        <v>3039118801</v>
      </c>
      <c r="D61" t="str">
        <f>VLOOKUP(C61,'Customer BoQ'!$D$2:$E$220,2,0)</f>
        <v>3HE00028CA</v>
      </c>
      <c r="F61" t="s">
        <v>726</v>
      </c>
      <c r="G61" t="s">
        <v>700</v>
      </c>
      <c r="H61" s="117">
        <v>40</v>
      </c>
    </row>
    <row r="62" spans="1:10">
      <c r="A62">
        <v>167</v>
      </c>
      <c r="B62" t="s">
        <v>698</v>
      </c>
      <c r="C62">
        <v>3015251445</v>
      </c>
      <c r="D62" t="str">
        <f>VLOOKUP(C62,'Customer BoQ'!$D$2:$E$220,2,0)</f>
        <v>Nokia NMS_upgrade service</v>
      </c>
      <c r="F62" t="s">
        <v>599</v>
      </c>
      <c r="G62" t="s">
        <v>700</v>
      </c>
      <c r="H62" s="117">
        <v>80000</v>
      </c>
    </row>
    <row r="63" spans="1:10">
      <c r="A63">
        <v>30</v>
      </c>
      <c r="B63" t="s">
        <v>698</v>
      </c>
      <c r="C63">
        <v>3050618316</v>
      </c>
      <c r="D63" t="str">
        <f>VLOOKUP(C63,'Customer BoQ'!$D$2:$E$220,2,0)</f>
        <v>SR7B Upgrade for PAGG Layer</v>
      </c>
      <c r="F63" t="s">
        <v>727</v>
      </c>
      <c r="G63" t="s">
        <v>700</v>
      </c>
      <c r="H63" s="117">
        <v>40002.370000000003</v>
      </c>
    </row>
    <row r="64" spans="1:10">
      <c r="A64">
        <v>146</v>
      </c>
      <c r="B64" t="s">
        <v>698</v>
      </c>
      <c r="C64">
        <v>3095478693</v>
      </c>
      <c r="D64" t="str">
        <f>VLOOKUP(C64,'Customer BoQ'!$D$2:$E$220,2,0)</f>
        <v>Mobile Migration per Cisco CSG</v>
      </c>
      <c r="F64" t="s">
        <v>557</v>
      </c>
      <c r="G64" t="s">
        <v>700</v>
      </c>
      <c r="H64" s="117">
        <v>500</v>
      </c>
      <c r="J64" s="98"/>
    </row>
    <row r="65" spans="1:8">
      <c r="A65">
        <v>166</v>
      </c>
      <c r="B65" t="s">
        <v>698</v>
      </c>
      <c r="C65">
        <v>3019800006</v>
      </c>
      <c r="D65" t="e">
        <f>VLOOKUP(C65,'Customer BoQ'!$D$2:$E$220,2,0)</f>
        <v>#N/A</v>
      </c>
      <c r="F65" t="s">
        <v>596</v>
      </c>
      <c r="G65" t="s">
        <v>700</v>
      </c>
      <c r="H65" s="117">
        <v>774.4</v>
      </c>
    </row>
    <row r="66" spans="1:8">
      <c r="A66">
        <v>58</v>
      </c>
      <c r="B66" t="s">
        <v>698</v>
      </c>
      <c r="C66">
        <v>3066304966</v>
      </c>
      <c r="D66" t="str">
        <f>VLOOKUP(C66,'Customer BoQ'!$D$2:$E$220,2,0)</f>
        <v>IXR-e-Small Bundle</v>
      </c>
      <c r="F66" t="s">
        <v>728</v>
      </c>
      <c r="G66" t="s">
        <v>700</v>
      </c>
      <c r="H66" s="117">
        <v>2900</v>
      </c>
    </row>
    <row r="67" spans="1:8">
      <c r="A67">
        <v>43</v>
      </c>
      <c r="B67" t="s">
        <v>698</v>
      </c>
      <c r="C67">
        <v>3017285195</v>
      </c>
      <c r="D67" t="str">
        <f>VLOOKUP(C67,'Customer BoQ'!$D$2:$E$220,2,0)</f>
        <v>SCSG_25G Bundle</v>
      </c>
      <c r="F67" t="s">
        <v>729</v>
      </c>
      <c r="G67" t="s">
        <v>700</v>
      </c>
      <c r="H67" s="117">
        <v>7576</v>
      </c>
    </row>
    <row r="68" spans="1:8">
      <c r="A68">
        <v>25</v>
      </c>
      <c r="B68" t="s">
        <v>698</v>
      </c>
      <c r="C68">
        <v>3040867359</v>
      </c>
      <c r="D68" t="str">
        <f>VLOOKUP(C68,'Customer BoQ'!$D$2:$E$220,2,0)</f>
        <v>3HE15562AA</v>
      </c>
      <c r="F68" t="s">
        <v>268</v>
      </c>
      <c r="G68" t="s">
        <v>700</v>
      </c>
      <c r="H68" s="117">
        <v>8500</v>
      </c>
    </row>
    <row r="69" spans="1:8">
      <c r="A69">
        <v>88</v>
      </c>
      <c r="B69" t="s">
        <v>698</v>
      </c>
      <c r="C69">
        <v>3083676848</v>
      </c>
      <c r="D69" t="str">
        <f>VLOOKUP(C69,'Customer BoQ'!$D$2:$E$220,2,0)</f>
        <v>3HE100GLRtoZR</v>
      </c>
      <c r="F69" t="s">
        <v>424</v>
      </c>
      <c r="G69" t="s">
        <v>700</v>
      </c>
      <c r="H69" s="117">
        <v>2100</v>
      </c>
    </row>
    <row r="70" spans="1:8">
      <c r="A70">
        <v>108</v>
      </c>
      <c r="B70" t="s">
        <v>698</v>
      </c>
      <c r="C70">
        <v>3080302465</v>
      </c>
      <c r="D70" t="str">
        <f>VLOOKUP(C70,'Customer BoQ'!$D$2:$E$220,2,0)</f>
        <v>3HE11839AA</v>
      </c>
      <c r="F70" t="s">
        <v>479</v>
      </c>
      <c r="G70" t="s">
        <v>700</v>
      </c>
      <c r="H70" s="117">
        <v>125000</v>
      </c>
    </row>
    <row r="71" spans="1:8">
      <c r="A71">
        <v>162</v>
      </c>
      <c r="B71" t="s">
        <v>698</v>
      </c>
      <c r="C71">
        <v>3099044561</v>
      </c>
      <c r="D71" t="str">
        <f>VLOOKUP(C71,'Customer BoQ'!$D$2:$E$220,2,0)</f>
        <v>Nokia-OS-Upgrade-PAGG/SCSG-Service</v>
      </c>
      <c r="F71" t="s">
        <v>589</v>
      </c>
      <c r="G71" t="s">
        <v>700</v>
      </c>
      <c r="H71" s="117">
        <v>774.4</v>
      </c>
    </row>
    <row r="72" spans="1:8">
      <c r="A72">
        <v>188</v>
      </c>
      <c r="B72" t="s">
        <v>698</v>
      </c>
      <c r="C72">
        <v>3071804270</v>
      </c>
      <c r="D72" t="str">
        <f>VLOOKUP(C72,'Customer BoQ'!$D$2:$E$220,2,0)</f>
        <v>Nokia-Rack-6U</v>
      </c>
      <c r="F72" t="s">
        <v>648</v>
      </c>
      <c r="G72" t="s">
        <v>700</v>
      </c>
      <c r="H72" s="117">
        <v>168.75</v>
      </c>
    </row>
    <row r="73" spans="1:8">
      <c r="A73">
        <v>119</v>
      </c>
      <c r="B73" t="s">
        <v>698</v>
      </c>
      <c r="C73">
        <v>3079928711</v>
      </c>
      <c r="D73" t="str">
        <f>VLOOKUP(C73,'Customer BoQ'!$D$2:$E$220,2,0)</f>
        <v>Aggregation_PE v2 Installation &amp; Commissioning</v>
      </c>
      <c r="F73" t="s">
        <v>730</v>
      </c>
      <c r="G73" t="s">
        <v>700</v>
      </c>
      <c r="H73" s="117">
        <v>6000</v>
      </c>
    </row>
    <row r="74" spans="1:8">
      <c r="A74">
        <v>67</v>
      </c>
      <c r="B74" t="s">
        <v>698</v>
      </c>
      <c r="C74">
        <v>3090346042</v>
      </c>
      <c r="D74" t="str">
        <f>VLOOKUP(C74,'Customer BoQ'!$D$2:$E$220,2,0)</f>
        <v>3HE15212AA</v>
      </c>
      <c r="F74" t="s">
        <v>731</v>
      </c>
      <c r="G74" t="s">
        <v>700</v>
      </c>
      <c r="H74" s="117">
        <v>5000</v>
      </c>
    </row>
    <row r="75" spans="1:8">
      <c r="A75">
        <v>164</v>
      </c>
      <c r="B75" t="s">
        <v>698</v>
      </c>
      <c r="C75">
        <v>3056903584</v>
      </c>
      <c r="D75" t="str">
        <f>VLOOKUP(C75,'Customer BoQ'!$D$2:$E$220,2,0)</f>
        <v>Nokia-OS-Aggregation SW Upgrade</v>
      </c>
      <c r="F75" t="s">
        <v>593</v>
      </c>
      <c r="G75" t="s">
        <v>700</v>
      </c>
      <c r="H75" s="117">
        <v>2323.1999999999998</v>
      </c>
    </row>
    <row r="76" spans="1:8">
      <c r="A76">
        <v>64</v>
      </c>
      <c r="B76" t="s">
        <v>698</v>
      </c>
      <c r="C76">
        <v>3055942303</v>
      </c>
      <c r="D76" t="str">
        <f>VLOOKUP(C76,'Customer BoQ'!$D$2:$E$220,2,0)</f>
        <v>1830-ONE-Bundle</v>
      </c>
      <c r="F76" t="s">
        <v>732</v>
      </c>
      <c r="G76" t="s">
        <v>700</v>
      </c>
      <c r="H76" s="117">
        <v>1988</v>
      </c>
    </row>
    <row r="77" spans="1:8">
      <c r="A77">
        <v>57</v>
      </c>
      <c r="B77" t="s">
        <v>698</v>
      </c>
      <c r="C77">
        <v>3066534801</v>
      </c>
      <c r="D77" t="str">
        <f>VLOOKUP(C77,'Customer BoQ'!$D$2:$E$220,2,0)</f>
        <v>IXR-e-Big Bundle wthout 100G</v>
      </c>
      <c r="F77" t="s">
        <v>733</v>
      </c>
      <c r="G77" t="s">
        <v>700</v>
      </c>
      <c r="H77" s="117">
        <v>3350</v>
      </c>
    </row>
    <row r="78" spans="1:8">
      <c r="A78">
        <v>53</v>
      </c>
      <c r="B78" t="s">
        <v>698</v>
      </c>
      <c r="C78">
        <v>3050172043</v>
      </c>
      <c r="D78" t="str">
        <f>VLOOKUP(C78,'Customer BoQ'!$D$2:$E$220,2,0)</f>
        <v>3HELB010AA</v>
      </c>
      <c r="F78" t="s">
        <v>350</v>
      </c>
      <c r="G78" t="s">
        <v>700</v>
      </c>
      <c r="H78" s="117">
        <v>3800</v>
      </c>
    </row>
    <row r="79" spans="1:8">
      <c r="A79">
        <v>68</v>
      </c>
      <c r="B79" t="s">
        <v>698</v>
      </c>
      <c r="C79">
        <v>3029884072</v>
      </c>
      <c r="D79" t="str">
        <f>VLOOKUP(C79,'Customer BoQ'!$D$2:$E$220,2,0)</f>
        <v>3HE15211AA</v>
      </c>
      <c r="F79" t="s">
        <v>734</v>
      </c>
      <c r="G79" t="s">
        <v>700</v>
      </c>
      <c r="H79" s="117">
        <v>2000</v>
      </c>
    </row>
    <row r="80" spans="1:8">
      <c r="A80">
        <v>41</v>
      </c>
      <c r="B80" t="s">
        <v>698</v>
      </c>
      <c r="C80">
        <v>3089586518</v>
      </c>
      <c r="D80" t="str">
        <f>VLOOKUP(C80,'Customer BoQ'!$D$2:$E$220,2,0)</f>
        <v>SCSG_Low Bundle2</v>
      </c>
      <c r="F80" t="s">
        <v>735</v>
      </c>
      <c r="G80" t="s">
        <v>700</v>
      </c>
      <c r="H80" s="117">
        <v>25393.96</v>
      </c>
    </row>
    <row r="81" spans="1:8">
      <c r="A81">
        <v>39</v>
      </c>
      <c r="B81" t="s">
        <v>698</v>
      </c>
      <c r="C81">
        <v>3014950070</v>
      </c>
      <c r="D81" t="str">
        <f>VLOOKUP(C81,'Customer BoQ'!$D$2:$E$220,2,0)</f>
        <v>SCSG_High Bundle</v>
      </c>
      <c r="F81" t="s">
        <v>736</v>
      </c>
      <c r="G81" t="s">
        <v>700</v>
      </c>
      <c r="H81" s="117">
        <v>43400</v>
      </c>
    </row>
    <row r="82" spans="1:8">
      <c r="A82">
        <v>76</v>
      </c>
      <c r="B82" t="s">
        <v>698</v>
      </c>
      <c r="C82">
        <v>3057161423</v>
      </c>
      <c r="D82" t="str">
        <f>VLOOKUP(C82,'Customer BoQ'!$D$2:$E$220,2,0)</f>
        <v>3HE09328AA</v>
      </c>
      <c r="F82" t="s">
        <v>737</v>
      </c>
      <c r="G82" t="s">
        <v>700</v>
      </c>
      <c r="H82" s="117">
        <v>2307</v>
      </c>
    </row>
    <row r="83" spans="1:8">
      <c r="A83">
        <v>8</v>
      </c>
      <c r="B83" t="s">
        <v>698</v>
      </c>
      <c r="C83">
        <v>3065765496</v>
      </c>
      <c r="D83" t="str">
        <f>VLOOKUP(C83,'Customer BoQ'!$D$2:$E$220,2,0)</f>
        <v>AGG 100G&amp;25G Bundle</v>
      </c>
      <c r="F83" t="s">
        <v>738</v>
      </c>
      <c r="G83" t="s">
        <v>700</v>
      </c>
      <c r="H83" s="117">
        <v>27500</v>
      </c>
    </row>
    <row r="84" spans="1:8">
      <c r="A84">
        <v>208</v>
      </c>
      <c r="B84" t="s">
        <v>698</v>
      </c>
      <c r="C84">
        <v>3056416201</v>
      </c>
      <c r="D84" t="str">
        <f>VLOOKUP(C84,'Customer BoQ'!$D$2:$E$220,2,0)</f>
        <v xml:space="preserve">Rectifier DPR2000C ( Delta ) </v>
      </c>
      <c r="F84" t="s">
        <v>739</v>
      </c>
      <c r="G84" t="s">
        <v>700</v>
      </c>
      <c r="H84" s="117">
        <v>148.22999999999999</v>
      </c>
    </row>
    <row r="85" spans="1:8">
      <c r="A85">
        <v>205</v>
      </c>
      <c r="B85" t="s">
        <v>698</v>
      </c>
      <c r="C85">
        <v>3022654685</v>
      </c>
      <c r="D85" t="str">
        <f>VLOOKUP(C85,'Customer BoQ'!$D$2:$E$220,2,0)</f>
        <v>CBI/Nader Output Breakers (Slim-Type) - 63A</v>
      </c>
      <c r="F85" t="s">
        <v>740</v>
      </c>
      <c r="G85" t="s">
        <v>700</v>
      </c>
      <c r="H85" s="117">
        <v>3.39</v>
      </c>
    </row>
    <row r="86" spans="1:8">
      <c r="A86">
        <v>210</v>
      </c>
      <c r="B86" t="s">
        <v>698</v>
      </c>
      <c r="C86">
        <v>3045568832</v>
      </c>
      <c r="D86" t="str">
        <f>VLOOKUP(C86,'Customer BoQ'!$D$2:$E$220,2,0)</f>
        <v>Power_PowerCables and Lugs</v>
      </c>
      <c r="F86" t="s">
        <v>690</v>
      </c>
      <c r="G86" t="s">
        <v>700</v>
      </c>
      <c r="H86" s="117">
        <v>68.489999999999995</v>
      </c>
    </row>
    <row r="87" spans="1:8">
      <c r="A87">
        <v>131</v>
      </c>
      <c r="B87" t="s">
        <v>698</v>
      </c>
      <c r="C87">
        <v>3086166872</v>
      </c>
      <c r="D87" t="str">
        <f>VLOOKUP(C87,'Customer BoQ'!$D$2:$E$220,2,0)</f>
        <v xml:space="preserve">PAGG/SCSG HW Installation &amp; Commissioning </v>
      </c>
      <c r="F87" t="s">
        <v>741</v>
      </c>
      <c r="G87" t="s">
        <v>700</v>
      </c>
      <c r="H87" s="117">
        <v>3973.2</v>
      </c>
    </row>
    <row r="88" spans="1:8">
      <c r="A88">
        <v>194</v>
      </c>
      <c r="B88" t="s">
        <v>698</v>
      </c>
      <c r="C88">
        <v>3036613084</v>
      </c>
      <c r="D88" t="str">
        <f>VLOOKUP(C88,'Customer BoQ'!$D$2:$E$220,2,0)</f>
        <v>ODF Patch panels (12)</v>
      </c>
      <c r="F88" t="s">
        <v>660</v>
      </c>
      <c r="G88" t="s">
        <v>700</v>
      </c>
      <c r="H88" s="117">
        <v>96.25</v>
      </c>
    </row>
    <row r="89" spans="1:8">
      <c r="A89">
        <v>195</v>
      </c>
      <c r="B89" t="s">
        <v>698</v>
      </c>
      <c r="C89">
        <v>3092780679</v>
      </c>
      <c r="D89" t="str">
        <f>VLOOKUP(C89,'Customer BoQ'!$D$2:$E$220,2,0)</f>
        <v>Vertiv/Delta Indoor Power Cabinet 12KW</v>
      </c>
      <c r="F89" t="s">
        <v>662</v>
      </c>
      <c r="G89" t="s">
        <v>700</v>
      </c>
      <c r="H89" s="117">
        <v>2018.72</v>
      </c>
    </row>
    <row r="90" spans="1:8">
      <c r="A90">
        <v>118</v>
      </c>
      <c r="B90" t="s">
        <v>698</v>
      </c>
      <c r="C90">
        <v>3012563231</v>
      </c>
      <c r="D90" t="str">
        <f>VLOOKUP(C90,'Customer BoQ'!$D$2:$E$220,2,0)</f>
        <v>Aggregation_PE v1 Installation &amp; Commissioning</v>
      </c>
      <c r="F90" t="s">
        <v>742</v>
      </c>
      <c r="G90" t="s">
        <v>700</v>
      </c>
      <c r="H90" s="117">
        <v>6000</v>
      </c>
    </row>
    <row r="91" spans="1:8">
      <c r="A91">
        <v>169</v>
      </c>
      <c r="B91" t="s">
        <v>698</v>
      </c>
      <c r="C91">
        <v>3024805236</v>
      </c>
      <c r="D91" t="str">
        <f>VLOOKUP(C91,'Customer BoQ'!$D$2:$E$220,2,0)</f>
        <v>1AB407580013</v>
      </c>
      <c r="F91" t="s">
        <v>621</v>
      </c>
      <c r="G91" t="s">
        <v>700</v>
      </c>
      <c r="H91" s="117">
        <v>3024805236</v>
      </c>
    </row>
    <row r="92" spans="1:8">
      <c r="A92">
        <v>176</v>
      </c>
      <c r="B92" t="s">
        <v>698</v>
      </c>
      <c r="C92">
        <v>3034351841</v>
      </c>
      <c r="D92" t="str">
        <f>VLOOKUP(C92,'Customer BoQ'!$D$2:$E$220,2,0)</f>
        <v>1AD147550001</v>
      </c>
      <c r="F92" t="s">
        <v>623</v>
      </c>
      <c r="G92" t="s">
        <v>700</v>
      </c>
      <c r="H92" s="117">
        <v>193.53</v>
      </c>
    </row>
    <row r="93" spans="1:8">
      <c r="A93">
        <v>127</v>
      </c>
      <c r="B93" t="s">
        <v>698</v>
      </c>
      <c r="C93">
        <v>3039137045</v>
      </c>
      <c r="D93" t="str">
        <f>VLOOKUP(C93,'Customer BoQ'!$D$2:$E$220,2,0)</f>
        <v>Nokia AGG-SWAP-Port by Port Migration from one existing node to Nokia AGG from a different physical site</v>
      </c>
      <c r="F93" t="s">
        <v>517</v>
      </c>
      <c r="G93" t="s">
        <v>700</v>
      </c>
      <c r="H93" s="117">
        <v>10000</v>
      </c>
    </row>
    <row r="94" spans="1:8">
      <c r="A94">
        <v>4</v>
      </c>
      <c r="B94" t="s">
        <v>698</v>
      </c>
      <c r="C94">
        <v>3073693538</v>
      </c>
      <c r="D94" t="str">
        <f>VLOOKUP(C94,'Customer BoQ'!$D$2:$E$220,2,0)</f>
        <v>AGGv1 400G Bundle</v>
      </c>
      <c r="F94" t="s">
        <v>743</v>
      </c>
      <c r="G94" t="s">
        <v>700</v>
      </c>
      <c r="H94" s="117">
        <v>44000</v>
      </c>
    </row>
    <row r="95" spans="1:8">
      <c r="A95">
        <v>178</v>
      </c>
      <c r="B95" t="s">
        <v>698</v>
      </c>
      <c r="C95">
        <v>3014904444</v>
      </c>
      <c r="D95" t="str">
        <f>VLOOKUP(C95,'Customer BoQ'!$D$2:$E$220,2,0)</f>
        <v>3BK08959BA</v>
      </c>
      <c r="F95" t="s">
        <v>627</v>
      </c>
      <c r="G95" t="s">
        <v>700</v>
      </c>
      <c r="H95" s="117">
        <v>5.81</v>
      </c>
    </row>
    <row r="96" spans="1:8">
      <c r="A96">
        <v>114</v>
      </c>
      <c r="B96" t="s">
        <v>698</v>
      </c>
      <c r="C96">
        <v>3016262059</v>
      </c>
      <c r="D96" t="str">
        <f>VLOOKUP(C96,'Customer BoQ'!$D$2:$E$220,2,0)</f>
        <v>3HE16013AA</v>
      </c>
      <c r="F96" t="s">
        <v>491</v>
      </c>
      <c r="G96" t="s">
        <v>700</v>
      </c>
      <c r="H96" s="117">
        <v>15000</v>
      </c>
    </row>
    <row r="97" spans="1:8">
      <c r="A97">
        <v>219</v>
      </c>
      <c r="B97" t="s">
        <v>698</v>
      </c>
      <c r="C97">
        <v>3083845282</v>
      </c>
      <c r="D97" t="str">
        <f>VLOOKUP(C97,'Customer BoQ'!$D$2:$E$220,2,0)</f>
        <v>Deliver custom software artefacts of sixteen sprints</v>
      </c>
      <c r="F97" t="s">
        <v>744</v>
      </c>
      <c r="G97" t="s">
        <v>700</v>
      </c>
      <c r="H97" s="117">
        <v>966604.80000000005</v>
      </c>
    </row>
    <row r="98" spans="1:8">
      <c r="A98">
        <v>60</v>
      </c>
      <c r="B98" t="s">
        <v>698</v>
      </c>
      <c r="C98">
        <v>3091206981</v>
      </c>
      <c r="D98" t="str">
        <f>VLOOKUP(C98,'Customer BoQ'!$D$2:$E$220,2,0)</f>
        <v>3HE11597AA</v>
      </c>
      <c r="F98" t="s">
        <v>372</v>
      </c>
      <c r="G98" t="s">
        <v>700</v>
      </c>
      <c r="H98" s="117">
        <v>15281</v>
      </c>
    </row>
    <row r="99" spans="1:8">
      <c r="A99">
        <v>77</v>
      </c>
      <c r="B99" t="s">
        <v>698</v>
      </c>
      <c r="C99">
        <v>3040925764</v>
      </c>
      <c r="D99" t="str">
        <f>VLOOKUP(C99,'Customer BoQ'!$D$2:$E$220,2,0)</f>
        <v>3HE09329AA</v>
      </c>
      <c r="F99" t="s">
        <v>745</v>
      </c>
      <c r="G99" t="s">
        <v>700</v>
      </c>
      <c r="H99" s="117">
        <v>3469</v>
      </c>
    </row>
    <row r="100" spans="1:8">
      <c r="A100">
        <v>222</v>
      </c>
      <c r="B100" t="s">
        <v>698</v>
      </c>
      <c r="C100">
        <v>3025958047</v>
      </c>
      <c r="D100" t="str">
        <f>VLOOKUP(C100,'Customer BoQ'!$D$2:$E$220,2,0)</f>
        <v>Implementation of VAS for subscriber based firewall enablement for 1 AGGR pair</v>
      </c>
      <c r="F100" t="s">
        <v>746</v>
      </c>
      <c r="G100" t="s">
        <v>700</v>
      </c>
      <c r="H100" s="117">
        <v>18300</v>
      </c>
    </row>
    <row r="101" spans="1:8">
      <c r="A101">
        <v>52</v>
      </c>
      <c r="B101" t="s">
        <v>698</v>
      </c>
      <c r="C101">
        <v>3077379998</v>
      </c>
      <c r="D101" t="str">
        <f>VLOOKUP(C101,'Customer BoQ'!$D$2:$E$220,2,0)</f>
        <v>3HE16712AA</v>
      </c>
      <c r="F101" t="s">
        <v>336</v>
      </c>
      <c r="G101" t="s">
        <v>700</v>
      </c>
      <c r="H101" s="117">
        <v>13300</v>
      </c>
    </row>
    <row r="102" spans="1:8">
      <c r="A102">
        <v>134</v>
      </c>
      <c r="B102" t="s">
        <v>698</v>
      </c>
      <c r="C102">
        <v>3043063050</v>
      </c>
      <c r="D102" t="str">
        <f>VLOOKUP(C102,'Customer BoQ'!$D$2:$E$220,2,0)</f>
        <v>SWAP PAGG/SCSG Port by Port Migration</v>
      </c>
      <c r="F102" t="s">
        <v>747</v>
      </c>
      <c r="G102" t="s">
        <v>700</v>
      </c>
      <c r="H102" s="117">
        <v>35000</v>
      </c>
    </row>
    <row r="103" spans="1:8">
      <c r="A103">
        <v>63</v>
      </c>
      <c r="B103" t="s">
        <v>698</v>
      </c>
      <c r="C103">
        <v>3090904590</v>
      </c>
      <c r="D103" t="str">
        <f>VLOOKUP(C103,'Customer BoQ'!$D$2:$E$220,2,0)</f>
        <v>7750 SR-2s Chassis Bundle for Testbed</v>
      </c>
      <c r="F103" t="s">
        <v>748</v>
      </c>
      <c r="G103" t="s">
        <v>700</v>
      </c>
      <c r="H103" s="117">
        <v>0</v>
      </c>
    </row>
    <row r="104" spans="1:8">
      <c r="A104">
        <v>34</v>
      </c>
      <c r="B104" t="s">
        <v>698</v>
      </c>
      <c r="C104">
        <v>3026927345</v>
      </c>
      <c r="D104" t="str">
        <f>VLOOKUP(C104,'Customer BoQ'!$D$2:$E$220,2,0)</f>
        <v>3HE15152AA</v>
      </c>
      <c r="F104" t="s">
        <v>749</v>
      </c>
      <c r="G104" t="s">
        <v>700</v>
      </c>
      <c r="H104" s="117">
        <v>28560</v>
      </c>
    </row>
    <row r="105" spans="1:8">
      <c r="A105">
        <v>96</v>
      </c>
      <c r="B105" t="s">
        <v>698</v>
      </c>
      <c r="C105">
        <v>3067541885</v>
      </c>
      <c r="D105" t="str">
        <f>VLOOKUP(C105,'Customer BoQ'!$D$2:$E$220,2,0)</f>
        <v>3HE15662AA</v>
      </c>
      <c r="F105" t="s">
        <v>442</v>
      </c>
      <c r="G105" t="s">
        <v>700</v>
      </c>
      <c r="H105" s="117">
        <v>300</v>
      </c>
    </row>
    <row r="106" spans="1:8">
      <c r="A106">
        <v>170</v>
      </c>
      <c r="B106" t="s">
        <v>698</v>
      </c>
      <c r="C106">
        <v>3032397606</v>
      </c>
      <c r="D106" t="str">
        <f>VLOOKUP(C106,'Customer BoQ'!$D$2:$E$220,2,0)</f>
        <v>Resident Engineer</v>
      </c>
      <c r="F106" t="s">
        <v>608</v>
      </c>
      <c r="G106" t="s">
        <v>700</v>
      </c>
      <c r="H106" s="117">
        <v>152433.5</v>
      </c>
    </row>
    <row r="107" spans="1:8">
      <c r="A107">
        <v>136</v>
      </c>
      <c r="B107" t="s">
        <v>698</v>
      </c>
      <c r="C107">
        <v>3029909708</v>
      </c>
      <c r="D107" t="str">
        <f>VLOOKUP(C107,'Customer BoQ'!$D$2:$E$220,2,0)</f>
        <v>PAGG/SCSG  SWAP Port by Port Migration</v>
      </c>
      <c r="F107" t="s">
        <v>535</v>
      </c>
      <c r="G107" t="s">
        <v>700</v>
      </c>
      <c r="H107" s="117">
        <v>35000</v>
      </c>
    </row>
    <row r="108" spans="1:8">
      <c r="A108">
        <v>193</v>
      </c>
      <c r="B108" t="s">
        <v>698</v>
      </c>
      <c r="C108">
        <v>3019463966</v>
      </c>
      <c r="D108" t="str">
        <f>VLOOKUP(C108,'Customer BoQ'!$D$2:$E$220,2,0)</f>
        <v>ODF Patch panels (24)</v>
      </c>
      <c r="F108" t="s">
        <v>658</v>
      </c>
      <c r="G108" t="s">
        <v>700</v>
      </c>
      <c r="H108" s="117">
        <v>133.75</v>
      </c>
    </row>
    <row r="109" spans="1:8">
      <c r="A109">
        <v>70</v>
      </c>
      <c r="B109" t="s">
        <v>698</v>
      </c>
      <c r="C109">
        <v>3083510427</v>
      </c>
      <c r="D109" t="str">
        <f>VLOOKUP(C109,'Customer BoQ'!$D$2:$E$220,2,0)</f>
        <v>3HE10550AA</v>
      </c>
      <c r="F109" t="s">
        <v>750</v>
      </c>
      <c r="G109" t="s">
        <v>700</v>
      </c>
      <c r="H109" s="117">
        <v>3000</v>
      </c>
    </row>
    <row r="110" spans="1:8">
      <c r="A110">
        <v>84</v>
      </c>
      <c r="B110" t="s">
        <v>698</v>
      </c>
      <c r="C110">
        <v>3090865384</v>
      </c>
      <c r="D110" t="str">
        <f>VLOOKUP(C110,'Customer BoQ'!$D$2:$E$220,2,0)</f>
        <v>1AK23148AAAA</v>
      </c>
      <c r="F110" t="s">
        <v>751</v>
      </c>
      <c r="G110" t="s">
        <v>700</v>
      </c>
      <c r="H110" s="117">
        <v>240</v>
      </c>
    </row>
    <row r="111" spans="1:8">
      <c r="A111">
        <v>116</v>
      </c>
      <c r="B111" t="s">
        <v>698</v>
      </c>
      <c r="C111">
        <v>3039524547</v>
      </c>
      <c r="D111" t="str">
        <f>VLOOKUP(C111,'Customer BoQ'!$D$2:$E$220,2,0)</f>
        <v>3HE16256AA</v>
      </c>
      <c r="F111" t="s">
        <v>495</v>
      </c>
      <c r="G111" t="s">
        <v>700</v>
      </c>
      <c r="H111" s="117">
        <v>20000</v>
      </c>
    </row>
    <row r="112" spans="1:8">
      <c r="A112">
        <v>171</v>
      </c>
      <c r="B112" t="s">
        <v>698</v>
      </c>
      <c r="C112">
        <v>3063686995</v>
      </c>
      <c r="D112" t="str">
        <f>VLOOKUP(C112,'Customer BoQ'!$D$2:$E$220,2,0)</f>
        <v>1AB407560001</v>
      </c>
      <c r="F112" t="s">
        <v>613</v>
      </c>
      <c r="G112" t="s">
        <v>700</v>
      </c>
      <c r="H112" s="117">
        <v>3.95</v>
      </c>
    </row>
    <row r="113" spans="1:8">
      <c r="A113">
        <v>143</v>
      </c>
      <c r="B113" t="s">
        <v>698</v>
      </c>
      <c r="C113">
        <v>3025561575</v>
      </c>
      <c r="D113" t="str">
        <f>VLOOKUP(C113,'Customer BoQ'!$D$2:$E$220,2,0)</f>
        <v>3rd Party  CSG Integration</v>
      </c>
      <c r="F113" t="s">
        <v>549</v>
      </c>
      <c r="G113" t="s">
        <v>700</v>
      </c>
      <c r="H113" s="117">
        <v>390</v>
      </c>
    </row>
    <row r="114" spans="1:8">
      <c r="A114">
        <v>172</v>
      </c>
      <c r="B114" t="s">
        <v>698</v>
      </c>
      <c r="C114">
        <v>3040403128</v>
      </c>
      <c r="D114" t="str">
        <f>VLOOKUP(C114,'Customer BoQ'!$D$2:$E$220,2,0)</f>
        <v>1AB377380001</v>
      </c>
      <c r="F114" t="s">
        <v>615</v>
      </c>
      <c r="G114" t="s">
        <v>700</v>
      </c>
      <c r="H114" s="117">
        <v>4.17</v>
      </c>
    </row>
    <row r="115" spans="1:8">
      <c r="A115">
        <v>155</v>
      </c>
      <c r="B115" t="s">
        <v>698</v>
      </c>
      <c r="C115">
        <v>3083845279</v>
      </c>
      <c r="D115" t="str">
        <f>VLOOKUP(C115,'Customer BoQ'!$D$2:$E$220,2,0)</f>
        <v>1 sprint</v>
      </c>
      <c r="F115" t="s">
        <v>575</v>
      </c>
      <c r="G115" t="s">
        <v>700</v>
      </c>
      <c r="H115" s="117">
        <v>74088</v>
      </c>
    </row>
    <row r="116" spans="1:8">
      <c r="A116">
        <v>113</v>
      </c>
      <c r="B116" t="s">
        <v>698</v>
      </c>
      <c r="C116">
        <v>3030283232</v>
      </c>
      <c r="D116" t="str">
        <f>VLOOKUP(C116,'Customer BoQ'!$D$2:$E$220,2,0)</f>
        <v>3HE16012AA</v>
      </c>
      <c r="F116" t="s">
        <v>489</v>
      </c>
      <c r="G116" t="s">
        <v>700</v>
      </c>
      <c r="H116" s="117">
        <v>15000</v>
      </c>
    </row>
    <row r="117" spans="1:8">
      <c r="A117">
        <v>99</v>
      </c>
      <c r="B117" t="s">
        <v>698</v>
      </c>
      <c r="C117">
        <v>3095328969</v>
      </c>
      <c r="D117" t="str">
        <f>VLOOKUP(C117,'Customer BoQ'!$D$2:$E$220,2,0)</f>
        <v>3HE11471CA</v>
      </c>
      <c r="F117" t="s">
        <v>448</v>
      </c>
      <c r="G117" t="s">
        <v>700</v>
      </c>
      <c r="H117" s="117">
        <v>40</v>
      </c>
    </row>
    <row r="118" spans="1:8">
      <c r="A118">
        <v>211</v>
      </c>
      <c r="B118" t="s">
        <v>698</v>
      </c>
      <c r="C118">
        <v>3029295636</v>
      </c>
      <c r="D118" t="str">
        <f>VLOOKUP(C118,'Customer BoQ'!$D$2:$E$220,2,0)</f>
        <v>3HE15764AA</v>
      </c>
      <c r="F118" t="s">
        <v>288</v>
      </c>
      <c r="G118" t="s">
        <v>700</v>
      </c>
      <c r="H118" s="117">
        <v>20400</v>
      </c>
    </row>
    <row r="119" spans="1:8">
      <c r="A119">
        <v>28</v>
      </c>
      <c r="B119" t="s">
        <v>698</v>
      </c>
      <c r="C119">
        <v>3021402263</v>
      </c>
      <c r="D119" t="str">
        <f>VLOOKUP(C119,'Customer BoQ'!$D$2:$E$220,2,0)</f>
        <v>AGG_SR12E_Upgrade_100G</v>
      </c>
      <c r="F119" t="s">
        <v>752</v>
      </c>
      <c r="G119" t="s">
        <v>700</v>
      </c>
      <c r="H119" s="117">
        <v>18196.080000000002</v>
      </c>
    </row>
    <row r="120" spans="1:8">
      <c r="A120">
        <v>15</v>
      </c>
      <c r="B120" t="s">
        <v>698</v>
      </c>
      <c r="C120">
        <v>3010409766</v>
      </c>
      <c r="D120" t="str">
        <f>VLOOKUP(C120,'Customer BoQ'!$D$2:$E$220,2,0)</f>
        <v>3HE12388BA</v>
      </c>
      <c r="F120" t="s">
        <v>259</v>
      </c>
      <c r="G120" t="s">
        <v>700</v>
      </c>
      <c r="H120" s="117">
        <v>48000</v>
      </c>
    </row>
    <row r="121" spans="1:8">
      <c r="A121">
        <v>216</v>
      </c>
      <c r="B121" t="s">
        <v>698</v>
      </c>
      <c r="C121">
        <v>3083845283</v>
      </c>
      <c r="D121" t="str">
        <f>VLOOKUP(C121,'Customer BoQ'!$D$2:$E$220,2,0)</f>
        <v>Deliver custom software artefacts of twenty-four sprints</v>
      </c>
      <c r="F121" t="s">
        <v>719</v>
      </c>
      <c r="G121" t="s">
        <v>700</v>
      </c>
      <c r="H121" s="117">
        <v>1371955.2</v>
      </c>
    </row>
    <row r="122" spans="1:8">
      <c r="A122">
        <v>81</v>
      </c>
      <c r="B122" t="s">
        <v>698</v>
      </c>
      <c r="C122">
        <v>3093056662</v>
      </c>
      <c r="D122" t="str">
        <f>VLOOKUP(C122,'Customer BoQ'!$D$2:$E$220,2,0)</f>
        <v>3HE00029CA</v>
      </c>
      <c r="F122" t="s">
        <v>753</v>
      </c>
      <c r="G122" t="s">
        <v>700</v>
      </c>
      <c r="H122" s="117">
        <v>160</v>
      </c>
    </row>
    <row r="123" spans="1:8">
      <c r="A123">
        <v>104</v>
      </c>
      <c r="B123" t="s">
        <v>698</v>
      </c>
      <c r="C123">
        <v>3046518651</v>
      </c>
      <c r="D123" t="str">
        <f>VLOOKUP(C123,'Customer BoQ'!$D$2:$E$220,2,0)</f>
        <v>3HELB021AA</v>
      </c>
      <c r="F123" t="s">
        <v>456</v>
      </c>
      <c r="G123" t="s">
        <v>700</v>
      </c>
      <c r="H123" s="117">
        <v>250</v>
      </c>
    </row>
    <row r="124" spans="1:8">
      <c r="A124">
        <v>22</v>
      </c>
      <c r="B124" t="s">
        <v>698</v>
      </c>
      <c r="C124">
        <v>3088379579</v>
      </c>
      <c r="D124" t="str">
        <f>VLOOKUP(C124,'Customer BoQ'!$D$2:$E$220,2,0)</f>
        <v>3HE15563AA</v>
      </c>
      <c r="F124" t="s">
        <v>266</v>
      </c>
      <c r="G124" t="s">
        <v>700</v>
      </c>
      <c r="H124" s="117">
        <v>8500</v>
      </c>
    </row>
    <row r="125" spans="1:8">
      <c r="A125">
        <v>83</v>
      </c>
      <c r="B125" t="s">
        <v>698</v>
      </c>
      <c r="C125">
        <v>3078304503</v>
      </c>
      <c r="D125" t="str">
        <f>VLOOKUP(C125,'Customer BoQ'!$D$2:$E$220,2,0)</f>
        <v>1AK23152AAAA</v>
      </c>
      <c r="F125" t="s">
        <v>754</v>
      </c>
      <c r="G125" t="s">
        <v>700</v>
      </c>
      <c r="H125" s="117">
        <v>600</v>
      </c>
    </row>
    <row r="126" spans="1:8">
      <c r="A126">
        <v>95</v>
      </c>
      <c r="B126" t="s">
        <v>698</v>
      </c>
      <c r="C126">
        <v>3063342083</v>
      </c>
      <c r="D126" t="str">
        <f>VLOOKUP(C126,'Customer BoQ'!$D$2:$E$220,2,0)</f>
        <v>3HE15664BA</v>
      </c>
      <c r="F126" t="s">
        <v>358</v>
      </c>
      <c r="G126" t="s">
        <v>700</v>
      </c>
      <c r="H126" s="117">
        <v>300</v>
      </c>
    </row>
    <row r="127" spans="1:8">
      <c r="A127">
        <v>61</v>
      </c>
      <c r="B127" t="s">
        <v>698</v>
      </c>
      <c r="C127">
        <v>3025272280</v>
      </c>
      <c r="D127" t="str">
        <f>VLOOKUP(C127,'Customer BoQ'!$D$2:$E$220,2,0)</f>
        <v>3HE10499AA</v>
      </c>
      <c r="F127" t="s">
        <v>374</v>
      </c>
      <c r="G127" t="s">
        <v>700</v>
      </c>
      <c r="H127" s="117">
        <v>950</v>
      </c>
    </row>
    <row r="128" spans="1:8">
      <c r="A128">
        <v>121</v>
      </c>
      <c r="B128" t="s">
        <v>698</v>
      </c>
      <c r="C128">
        <v>3091985164</v>
      </c>
      <c r="D128" t="str">
        <f>VLOOKUP(C128,'Customer BoQ'!$D$2:$E$220,2,0)</f>
        <v>SWAP Aggregation_PE_v1 (Replacement/Upgrade to AGG_v1) Installation &amp; Commissioning</v>
      </c>
      <c r="F128" t="s">
        <v>755</v>
      </c>
      <c r="G128" t="s">
        <v>700</v>
      </c>
      <c r="H128" s="117">
        <v>0</v>
      </c>
    </row>
    <row r="129" spans="1:8">
      <c r="A129">
        <v>19</v>
      </c>
      <c r="B129" t="s">
        <v>698</v>
      </c>
      <c r="C129">
        <v>3087565806</v>
      </c>
      <c r="D129" t="str">
        <f>VLOOKUP(C129,'Customer BoQ'!$D$2:$E$220,2,0)</f>
        <v>3HE12379AA</v>
      </c>
      <c r="F129" t="s">
        <v>214</v>
      </c>
      <c r="G129" t="s">
        <v>700</v>
      </c>
      <c r="H129" s="117">
        <v>14000</v>
      </c>
    </row>
    <row r="130" spans="1:8">
      <c r="A130">
        <v>49</v>
      </c>
      <c r="B130" t="s">
        <v>698</v>
      </c>
      <c r="C130">
        <v>3083623617</v>
      </c>
      <c r="D130" t="str">
        <f>VLOOKUP(C130,'Customer BoQ'!$D$2:$E$220,2,0)</f>
        <v>3HE11282AA-BL</v>
      </c>
      <c r="F130" t="s">
        <v>756</v>
      </c>
      <c r="G130" t="s">
        <v>700</v>
      </c>
      <c r="H130" s="117">
        <v>7000</v>
      </c>
    </row>
    <row r="131" spans="1:8">
      <c r="A131">
        <v>33</v>
      </c>
      <c r="B131" t="s">
        <v>698</v>
      </c>
      <c r="C131">
        <v>3038936149</v>
      </c>
      <c r="D131" t="str">
        <f>VLOOKUP(C131,'Customer BoQ'!$D$2:$E$220,2,0)</f>
        <v>3HE12334AA</v>
      </c>
      <c r="F131" t="s">
        <v>292</v>
      </c>
      <c r="G131" t="s">
        <v>700</v>
      </c>
      <c r="H131" s="117">
        <v>28800</v>
      </c>
    </row>
    <row r="132" spans="1:8">
      <c r="A132">
        <v>200</v>
      </c>
      <c r="B132" t="s">
        <v>698</v>
      </c>
      <c r="C132">
        <v>3060155800</v>
      </c>
      <c r="D132" t="str">
        <f>VLOOKUP(C132,'Customer BoQ'!$D$2:$E$220,2,0)</f>
        <v>Vertiv/Delta Rectifier module compatible with the Supplied DC System</v>
      </c>
      <c r="F132" t="s">
        <v>671</v>
      </c>
      <c r="G132" t="s">
        <v>700</v>
      </c>
      <c r="H132" s="117">
        <v>235</v>
      </c>
    </row>
    <row r="133" spans="1:8">
      <c r="A133">
        <v>56</v>
      </c>
      <c r="B133" t="s">
        <v>698</v>
      </c>
      <c r="C133">
        <v>3043257058</v>
      </c>
      <c r="D133" t="str">
        <f>VLOOKUP(C133,'Customer BoQ'!$D$2:$E$220,2,0)</f>
        <v>IXR-e-Big Bundle</v>
      </c>
      <c r="F133" t="s">
        <v>757</v>
      </c>
      <c r="G133" t="s">
        <v>700</v>
      </c>
      <c r="H133" s="117">
        <v>4850</v>
      </c>
    </row>
    <row r="134" spans="1:8">
      <c r="A134">
        <v>160</v>
      </c>
      <c r="B134" t="s">
        <v>698</v>
      </c>
      <c r="C134">
        <v>3091889365</v>
      </c>
      <c r="D134" t="str">
        <f>VLOOKUP(C134,'Customer BoQ'!$D$2:$E$220,2,0)</f>
        <v>LSS Yearly fee_Year 2</v>
      </c>
      <c r="F134" t="s">
        <v>758</v>
      </c>
      <c r="G134" t="s">
        <v>700</v>
      </c>
      <c r="H134" s="117">
        <v>415121.28</v>
      </c>
    </row>
    <row r="135" spans="1:8">
      <c r="A135">
        <v>214</v>
      </c>
      <c r="B135" t="s">
        <v>698</v>
      </c>
      <c r="C135">
        <v>3083845281</v>
      </c>
      <c r="D135" t="str">
        <f>VLOOKUP(C135,'Customer BoQ'!$D$2:$E$220,2,0)</f>
        <v>Deliver custom software artefacts of eight sprints</v>
      </c>
      <c r="F135" t="s">
        <v>759</v>
      </c>
      <c r="G135" t="s">
        <v>700</v>
      </c>
      <c r="H135" s="117">
        <v>537600</v>
      </c>
    </row>
    <row r="136" spans="1:8">
      <c r="A136">
        <v>183</v>
      </c>
      <c r="B136" t="s">
        <v>698</v>
      </c>
      <c r="C136">
        <v>3033491276</v>
      </c>
      <c r="D136" t="str">
        <f>VLOOKUP(C136,'Customer BoQ'!$D$2:$E$220,2,0)</f>
        <v>Nokia-Power-Upgrade- Single Rectifier Module Addition- Hardware-PowerOne</v>
      </c>
      <c r="F136" t="s">
        <v>638</v>
      </c>
      <c r="G136" t="s">
        <v>700</v>
      </c>
      <c r="H136" s="117">
        <v>343.18</v>
      </c>
    </row>
    <row r="137" spans="1:8">
      <c r="A137">
        <v>26</v>
      </c>
      <c r="B137" t="s">
        <v>698</v>
      </c>
      <c r="C137">
        <v>3056682874</v>
      </c>
      <c r="D137" t="str">
        <f>VLOOKUP(C137,'Customer BoQ'!$D$2:$E$220,2,0)</f>
        <v>3HE12515AA</v>
      </c>
      <c r="F137" t="s">
        <v>218</v>
      </c>
      <c r="G137" t="s">
        <v>700</v>
      </c>
      <c r="H137" s="117">
        <v>16750</v>
      </c>
    </row>
    <row r="138" spans="1:8">
      <c r="A138">
        <v>115</v>
      </c>
      <c r="B138" t="s">
        <v>698</v>
      </c>
      <c r="C138">
        <v>3090096080</v>
      </c>
      <c r="D138" t="str">
        <f>VLOOKUP(C138,'Customer BoQ'!$D$2:$E$220,2,0)</f>
        <v>3HE16020AA</v>
      </c>
      <c r="F138" t="s">
        <v>493</v>
      </c>
      <c r="G138" t="s">
        <v>700</v>
      </c>
      <c r="H138" s="117">
        <v>20000</v>
      </c>
    </row>
    <row r="139" spans="1:8">
      <c r="A139">
        <v>159</v>
      </c>
      <c r="B139" t="s">
        <v>698</v>
      </c>
      <c r="C139">
        <v>3012592186</v>
      </c>
      <c r="D139" t="str">
        <f>VLOOKUP(C139,'Customer BoQ'!$D$2:$E$220,2,0)</f>
        <v>LSS yearly fee_ Year 1</v>
      </c>
      <c r="F139" t="s">
        <v>758</v>
      </c>
      <c r="G139" t="s">
        <v>700</v>
      </c>
      <c r="H139" s="117">
        <v>308582.40000000002</v>
      </c>
    </row>
    <row r="140" spans="1:8">
      <c r="A140">
        <v>174</v>
      </c>
      <c r="B140" t="s">
        <v>698</v>
      </c>
      <c r="C140">
        <v>3066834014</v>
      </c>
      <c r="D140" t="str">
        <f>VLOOKUP(C140,'Customer BoQ'!$D$2:$E$220,2,0)</f>
        <v>1AB377380006</v>
      </c>
      <c r="F140" t="s">
        <v>619</v>
      </c>
      <c r="G140" t="s">
        <v>700</v>
      </c>
      <c r="H140" s="117">
        <v>4.72</v>
      </c>
    </row>
    <row r="141" spans="1:8">
      <c r="A141">
        <v>80</v>
      </c>
      <c r="B141" t="s">
        <v>698</v>
      </c>
      <c r="C141">
        <v>3043620585</v>
      </c>
      <c r="D141" t="str">
        <f>VLOOKUP(C141,'Customer BoQ'!$D$2:$E$220,2,0)</f>
        <v>3HE00867CA</v>
      </c>
      <c r="F141" t="s">
        <v>760</v>
      </c>
      <c r="G141" t="s">
        <v>700</v>
      </c>
      <c r="H141" s="117">
        <v>80</v>
      </c>
    </row>
    <row r="142" spans="1:8">
      <c r="A142">
        <v>14</v>
      </c>
      <c r="B142" t="s">
        <v>698</v>
      </c>
      <c r="C142">
        <v>3093022675</v>
      </c>
      <c r="D142" t="str">
        <f>VLOOKUP(C142,'Customer BoQ'!$D$2:$E$220,2,0)</f>
        <v>3HE13956BA</v>
      </c>
      <c r="F142" t="s">
        <v>257</v>
      </c>
      <c r="G142" t="s">
        <v>700</v>
      </c>
      <c r="H142" s="117">
        <v>30000</v>
      </c>
    </row>
    <row r="143" spans="1:8">
      <c r="A143">
        <v>156</v>
      </c>
      <c r="B143" t="s">
        <v>698</v>
      </c>
      <c r="C143">
        <v>3053049447</v>
      </c>
      <c r="D143" t="str">
        <f>VLOOKUP(C143,'Customer BoQ'!$D$2:$E$220,2,0)</f>
        <v>8 sprints</v>
      </c>
      <c r="F143" t="s">
        <v>761</v>
      </c>
      <c r="G143" t="s">
        <v>700</v>
      </c>
      <c r="H143" s="117">
        <v>537600</v>
      </c>
    </row>
    <row r="144" spans="1:8">
      <c r="A144">
        <v>97</v>
      </c>
      <c r="B144" t="s">
        <v>698</v>
      </c>
      <c r="C144">
        <v>3090368912</v>
      </c>
      <c r="D144" t="str">
        <f>VLOOKUP(C144,'Customer BoQ'!$D$2:$E$220,2,0)</f>
        <v>3HE15663AA</v>
      </c>
      <c r="F144" t="s">
        <v>444</v>
      </c>
      <c r="G144" t="s">
        <v>700</v>
      </c>
      <c r="H144" s="117">
        <v>300</v>
      </c>
    </row>
    <row r="145" spans="1:8">
      <c r="A145">
        <v>129</v>
      </c>
      <c r="B145" t="s">
        <v>698</v>
      </c>
      <c r="C145">
        <v>3021260661</v>
      </c>
      <c r="D145" t="str">
        <f>VLOOKUP(C145,'Customer BoQ'!$D$2:$E$220,2,0)</f>
        <v>Nokia AGG Capacity Expansion Migration</v>
      </c>
      <c r="F145" t="s">
        <v>521</v>
      </c>
      <c r="G145" t="s">
        <v>700</v>
      </c>
      <c r="H145" s="117">
        <v>7247</v>
      </c>
    </row>
    <row r="146" spans="1:8">
      <c r="A146">
        <v>13</v>
      </c>
      <c r="B146" t="s">
        <v>698</v>
      </c>
      <c r="C146">
        <v>3044071677</v>
      </c>
      <c r="D146" t="str">
        <f>VLOOKUP(C146,'Customer BoQ'!$D$2:$E$220,2,0)</f>
        <v>3HE11307AA</v>
      </c>
      <c r="F146" t="s">
        <v>255</v>
      </c>
      <c r="G146" t="s">
        <v>700</v>
      </c>
      <c r="H146" s="117">
        <v>44000</v>
      </c>
    </row>
    <row r="147" spans="1:8">
      <c r="A147">
        <v>55</v>
      </c>
      <c r="B147" t="s">
        <v>698</v>
      </c>
      <c r="C147">
        <v>3068447396</v>
      </c>
      <c r="D147" t="str">
        <f>VLOOKUP(C147,'Customer BoQ'!$D$2:$E$220,2,0)</f>
        <v>3HE12523AA</v>
      </c>
      <c r="F147" t="s">
        <v>329</v>
      </c>
      <c r="G147" t="s">
        <v>700</v>
      </c>
      <c r="H147" s="117">
        <v>8360</v>
      </c>
    </row>
    <row r="148" spans="1:8">
      <c r="A148">
        <v>135</v>
      </c>
      <c r="B148" t="s">
        <v>698</v>
      </c>
      <c r="C148">
        <v>3055892175</v>
      </c>
      <c r="D148" t="str">
        <f>VLOOKUP(C148,'Customer BoQ'!$D$2:$E$220,2,0)</f>
        <v>PAGG/SCSG HOT SWAP Migration</v>
      </c>
      <c r="F148" t="s">
        <v>533</v>
      </c>
      <c r="G148" t="s">
        <v>700</v>
      </c>
      <c r="H148" s="117">
        <v>12000</v>
      </c>
    </row>
    <row r="149" spans="1:8">
      <c r="A149">
        <v>16</v>
      </c>
      <c r="B149" t="s">
        <v>698</v>
      </c>
      <c r="C149">
        <v>3010525854</v>
      </c>
      <c r="D149" t="e">
        <f>VLOOKUP(C149,'Customer BoQ'!$D$2:$E$220,2,0)</f>
        <v>#N/A</v>
      </c>
      <c r="F149" t="s">
        <v>259</v>
      </c>
      <c r="G149" t="s">
        <v>700</v>
      </c>
      <c r="H149" s="117">
        <v>26000</v>
      </c>
    </row>
    <row r="150" spans="1:8">
      <c r="A150">
        <v>2</v>
      </c>
      <c r="B150" t="s">
        <v>698</v>
      </c>
      <c r="C150">
        <v>3031328909</v>
      </c>
      <c r="D150" t="str">
        <f>VLOOKUP(C150,'Customer BoQ'!$D$2:$E$220,2,0)</f>
        <v>AGGv2 Bundle</v>
      </c>
      <c r="F150" t="s">
        <v>762</v>
      </c>
      <c r="G150" t="s">
        <v>700</v>
      </c>
      <c r="H150" s="117">
        <v>90000</v>
      </c>
    </row>
    <row r="151" spans="1:8">
      <c r="A151">
        <v>86</v>
      </c>
      <c r="B151" t="s">
        <v>698</v>
      </c>
      <c r="C151">
        <v>3054924822</v>
      </c>
      <c r="D151" t="str">
        <f>VLOOKUP(C151,'Customer BoQ'!$D$2:$E$220,2,0)</f>
        <v>3HE400GLRtoZR+</v>
      </c>
      <c r="F151" t="s">
        <v>420</v>
      </c>
      <c r="G151" t="s">
        <v>700</v>
      </c>
      <c r="H151" s="117">
        <v>4200</v>
      </c>
    </row>
    <row r="152" spans="1:8">
      <c r="A152">
        <v>187</v>
      </c>
      <c r="B152" t="s">
        <v>698</v>
      </c>
      <c r="C152">
        <v>3049666899</v>
      </c>
      <c r="D152" t="str">
        <f>VLOOKUP(C152,'Customer BoQ'!$D$2:$E$220,2,0)</f>
        <v>Nokia-Rack-12U</v>
      </c>
      <c r="F152" t="s">
        <v>646</v>
      </c>
      <c r="G152" t="s">
        <v>700</v>
      </c>
      <c r="H152" s="117">
        <v>162.5</v>
      </c>
    </row>
    <row r="153" spans="1:8">
      <c r="A153">
        <v>197</v>
      </c>
      <c r="B153" t="s">
        <v>698</v>
      </c>
      <c r="C153">
        <v>3026816154</v>
      </c>
      <c r="D153" t="str">
        <f>VLOOKUP(C153,'Customer BoQ'!$D$2:$E$220,2,0)</f>
        <v>Dismantle old Rectifier - including the packing and transfer to warehouse</v>
      </c>
      <c r="F153" t="s">
        <v>665</v>
      </c>
      <c r="G153" t="s">
        <v>700</v>
      </c>
      <c r="H153" s="117">
        <v>269.02999999999997</v>
      </c>
    </row>
    <row r="154" spans="1:8">
      <c r="A154">
        <v>122</v>
      </c>
      <c r="B154" t="s">
        <v>698</v>
      </c>
      <c r="C154">
        <v>3042668390</v>
      </c>
      <c r="D154" t="str">
        <f>VLOOKUP(C154,'Customer BoQ'!$D$2:$E$220,2,0)</f>
        <v>SWAP Aggregation_PE_v2 (Replacement/Upgrade to AGG_v2) Installation &amp; Commissioning</v>
      </c>
      <c r="F154" t="s">
        <v>763</v>
      </c>
      <c r="G154" t="s">
        <v>700</v>
      </c>
      <c r="H154" s="117">
        <v>6000</v>
      </c>
    </row>
    <row r="155" spans="1:8">
      <c r="A155">
        <v>198</v>
      </c>
      <c r="B155" t="s">
        <v>698</v>
      </c>
      <c r="C155">
        <v>3022785468</v>
      </c>
      <c r="D155" t="str">
        <f>VLOOKUP(C155,'Customer BoQ'!$D$2:$E$220,2,0)</f>
        <v>Supply outdoor Power Cabinet 12KW</v>
      </c>
      <c r="F155" t="s">
        <v>667</v>
      </c>
      <c r="G155" t="s">
        <v>700</v>
      </c>
      <c r="H155" s="117">
        <v>2836.44</v>
      </c>
    </row>
    <row r="156" spans="1:8">
      <c r="A156">
        <v>11</v>
      </c>
      <c r="B156" t="s">
        <v>698</v>
      </c>
      <c r="C156">
        <v>3085522104</v>
      </c>
      <c r="D156" t="str">
        <f>VLOOKUP(C156,'Customer BoQ'!$D$2:$E$220,2,0)</f>
        <v>3HE12390AA</v>
      </c>
      <c r="F156" t="s">
        <v>251</v>
      </c>
      <c r="G156" t="s">
        <v>700</v>
      </c>
      <c r="H156" s="117">
        <v>30000</v>
      </c>
    </row>
    <row r="157" spans="1:8">
      <c r="A157">
        <v>130</v>
      </c>
      <c r="B157" t="s">
        <v>698</v>
      </c>
      <c r="C157">
        <v>3010287699</v>
      </c>
      <c r="D157" t="str">
        <f>VLOOKUP(C157,'Customer BoQ'!$D$2:$E$220,2,0)</f>
        <v>Nokia PAGG Capacity Expansion Migration</v>
      </c>
      <c r="F157" t="s">
        <v>523</v>
      </c>
      <c r="G157" t="s">
        <v>700</v>
      </c>
      <c r="H157" s="117">
        <v>5921</v>
      </c>
    </row>
    <row r="158" spans="1:8">
      <c r="A158">
        <v>10</v>
      </c>
      <c r="B158" t="s">
        <v>698</v>
      </c>
      <c r="C158">
        <v>3085299903</v>
      </c>
      <c r="D158" t="str">
        <f>VLOOKUP(C158,'Customer BoQ'!$D$2:$E$220,2,0)</f>
        <v>3HE12392AA</v>
      </c>
      <c r="F158" t="s">
        <v>249</v>
      </c>
      <c r="G158" t="s">
        <v>700</v>
      </c>
      <c r="H158" s="117">
        <v>40000</v>
      </c>
    </row>
    <row r="159" spans="1:8">
      <c r="A159">
        <v>50</v>
      </c>
      <c r="B159" t="s">
        <v>698</v>
      </c>
      <c r="C159">
        <v>3061617488</v>
      </c>
      <c r="D159" t="str">
        <f>VLOOKUP(C159,'Customer BoQ'!$D$2:$E$220,2,0)</f>
        <v>3HE16713AA</v>
      </c>
      <c r="F159" t="s">
        <v>313</v>
      </c>
      <c r="G159" t="s">
        <v>700</v>
      </c>
      <c r="H159" s="117">
        <v>11875</v>
      </c>
    </row>
    <row r="160" spans="1:8">
      <c r="A160">
        <v>218</v>
      </c>
      <c r="B160" t="s">
        <v>698</v>
      </c>
      <c r="C160">
        <v>3083845281</v>
      </c>
      <c r="D160" t="str">
        <f>VLOOKUP(C160,'Customer BoQ'!$D$2:$E$220,2,0)</f>
        <v>Deliver custom software artefacts of eight sprints</v>
      </c>
      <c r="F160" t="s">
        <v>759</v>
      </c>
      <c r="G160" t="s">
        <v>700</v>
      </c>
      <c r="H160" s="117">
        <v>537600</v>
      </c>
    </row>
    <row r="161" spans="1:8">
      <c r="A161">
        <v>112</v>
      </c>
      <c r="B161" t="s">
        <v>698</v>
      </c>
      <c r="C161">
        <v>3073121370</v>
      </c>
      <c r="D161" t="str">
        <f>VLOOKUP(C161,'Customer BoQ'!$D$2:$E$220,2,0)</f>
        <v>3HE16018AA</v>
      </c>
      <c r="F161" t="s">
        <v>487</v>
      </c>
      <c r="G161" t="s">
        <v>700</v>
      </c>
      <c r="H161" s="117">
        <v>75</v>
      </c>
    </row>
    <row r="162" spans="1:8">
      <c r="A162">
        <v>9</v>
      </c>
      <c r="B162" t="s">
        <v>698</v>
      </c>
      <c r="C162">
        <v>3071025782</v>
      </c>
      <c r="D162" t="str">
        <f>VLOOKUP(C162,'Customer BoQ'!$D$2:$E$220,2,0)</f>
        <v>ESA Bundle</v>
      </c>
      <c r="F162" t="s">
        <v>764</v>
      </c>
      <c r="G162" t="s">
        <v>700</v>
      </c>
      <c r="H162" s="117">
        <v>13860</v>
      </c>
    </row>
    <row r="163" spans="1:8">
      <c r="A163">
        <v>152</v>
      </c>
      <c r="B163" t="s">
        <v>698</v>
      </c>
      <c r="C163">
        <v>3089879742</v>
      </c>
      <c r="D163" t="str">
        <f>VLOOKUP(C163,'Customer BoQ'!$D$2:$E$220,2,0)</f>
        <v>Deepfield Platform design, installation and configuration</v>
      </c>
      <c r="F163" t="s">
        <v>569</v>
      </c>
      <c r="G163" t="s">
        <v>700</v>
      </c>
      <c r="H163" s="117">
        <v>55000</v>
      </c>
    </row>
    <row r="164" spans="1:8">
      <c r="A164">
        <v>148</v>
      </c>
      <c r="B164" t="s">
        <v>698</v>
      </c>
      <c r="C164">
        <v>3086203925</v>
      </c>
      <c r="D164" t="str">
        <f>VLOOKUP(C164,'Customer BoQ'!$D$2:$E$220,2,0)</f>
        <v>Card Expansion Installation&amp;Integration</v>
      </c>
      <c r="F164" t="s">
        <v>561</v>
      </c>
      <c r="G164" t="s">
        <v>700</v>
      </c>
      <c r="H164" s="117">
        <v>1002</v>
      </c>
    </row>
    <row r="165" spans="1:8">
      <c r="A165">
        <v>72</v>
      </c>
      <c r="B165" t="s">
        <v>698</v>
      </c>
      <c r="C165">
        <v>3079434410</v>
      </c>
      <c r="D165" t="str">
        <f>VLOOKUP(C165,'Customer BoQ'!$D$2:$E$220,2,0)</f>
        <v>3HE16558AA</v>
      </c>
      <c r="F165" t="s">
        <v>765</v>
      </c>
      <c r="G165" t="s">
        <v>700</v>
      </c>
      <c r="H165" s="117">
        <v>5100</v>
      </c>
    </row>
    <row r="166" spans="1:8">
      <c r="A166">
        <v>224</v>
      </c>
      <c r="B166" t="s">
        <v>698</v>
      </c>
      <c r="C166">
        <v>3025958049</v>
      </c>
      <c r="D166" t="e">
        <f>VLOOKUP(C166,'Customer BoQ'!$D$2:$E$220,2,0)</f>
        <v>#N/A</v>
      </c>
      <c r="F166" t="s">
        <v>766</v>
      </c>
      <c r="G166" t="s">
        <v>700</v>
      </c>
      <c r="H166" s="117">
        <v>1000</v>
      </c>
    </row>
    <row r="167" spans="1:8">
      <c r="A167">
        <v>103</v>
      </c>
      <c r="B167" t="s">
        <v>698</v>
      </c>
      <c r="C167">
        <v>3066930622</v>
      </c>
      <c r="D167" t="str">
        <f>VLOOKUP(C167,'Customer BoQ'!$D$2:$E$220,2,0)</f>
        <v>3HE06490AA</v>
      </c>
      <c r="F167" t="s">
        <v>454</v>
      </c>
      <c r="G167" t="s">
        <v>700</v>
      </c>
      <c r="H167" s="117">
        <v>0</v>
      </c>
    </row>
    <row r="168" spans="1:8">
      <c r="A168">
        <v>105</v>
      </c>
      <c r="B168" t="s">
        <v>698</v>
      </c>
      <c r="C168">
        <v>3041361313</v>
      </c>
      <c r="D168" t="str">
        <f>VLOOKUP(C168,'Customer BoQ'!$D$2:$E$220,2,0)</f>
        <v>3HE11380AA</v>
      </c>
      <c r="F168" t="s">
        <v>458</v>
      </c>
      <c r="G168" t="s">
        <v>700</v>
      </c>
      <c r="H168" s="117">
        <v>10000</v>
      </c>
    </row>
    <row r="169" spans="1:8">
      <c r="A169">
        <v>87</v>
      </c>
      <c r="B169" t="s">
        <v>698</v>
      </c>
      <c r="C169">
        <v>3030107884</v>
      </c>
      <c r="D169" t="str">
        <f>VLOOKUP(C169,'Customer BoQ'!$D$2:$E$220,2,0)</f>
        <v>3HE100GLRtoER</v>
      </c>
      <c r="F169" t="s">
        <v>422</v>
      </c>
      <c r="G169" t="s">
        <v>700</v>
      </c>
      <c r="H169" s="117">
        <v>1300</v>
      </c>
    </row>
    <row r="170" spans="1:8">
      <c r="A170">
        <v>42</v>
      </c>
      <c r="B170" t="s">
        <v>698</v>
      </c>
      <c r="C170">
        <v>3095178703</v>
      </c>
      <c r="D170" t="str">
        <f>VLOOKUP(C170,'Customer BoQ'!$D$2:$E$220,2,0)</f>
        <v>SCSG_High_25G Bundle</v>
      </c>
      <c r="F170" t="s">
        <v>767</v>
      </c>
      <c r="G170" t="s">
        <v>700</v>
      </c>
      <c r="H170" s="117">
        <v>10351.6</v>
      </c>
    </row>
    <row r="171" spans="1:8">
      <c r="A171">
        <v>32</v>
      </c>
      <c r="B171" t="s">
        <v>698</v>
      </c>
      <c r="C171">
        <v>3040403027</v>
      </c>
      <c r="D171" t="str">
        <f>VLOOKUP(C171,'Customer BoQ'!$D$2:$E$220,2,0)</f>
        <v>3HE13727BA</v>
      </c>
      <c r="F171" t="s">
        <v>290</v>
      </c>
      <c r="G171" t="s">
        <v>700</v>
      </c>
      <c r="H171" s="117">
        <v>27000</v>
      </c>
    </row>
    <row r="172" spans="1:8">
      <c r="A172">
        <v>98</v>
      </c>
      <c r="B172" t="s">
        <v>698</v>
      </c>
      <c r="C172">
        <v>3094600287</v>
      </c>
      <c r="D172" t="str">
        <f>VLOOKUP(C172,'Customer BoQ'!$D$2:$E$220,2,0)</f>
        <v>3HE15664AA</v>
      </c>
      <c r="F172" t="s">
        <v>446</v>
      </c>
      <c r="G172" t="s">
        <v>700</v>
      </c>
      <c r="H172" s="117">
        <v>300</v>
      </c>
    </row>
    <row r="173" spans="1:8">
      <c r="A173">
        <v>215</v>
      </c>
      <c r="B173" t="s">
        <v>698</v>
      </c>
      <c r="C173">
        <v>3083845282</v>
      </c>
      <c r="D173" t="str">
        <f>VLOOKUP(C173,'Customer BoQ'!$D$2:$E$220,2,0)</f>
        <v>Deliver custom software artefacts of sixteen sprints</v>
      </c>
      <c r="F173" t="s">
        <v>744</v>
      </c>
      <c r="G173" t="s">
        <v>700</v>
      </c>
      <c r="H173" s="117">
        <v>966604.80000000005</v>
      </c>
    </row>
    <row r="174" spans="1:8">
      <c r="A174">
        <v>133</v>
      </c>
      <c r="B174" t="s">
        <v>698</v>
      </c>
      <c r="C174">
        <v>3014116532</v>
      </c>
      <c r="D174" t="str">
        <f>VLOOKUP(C174,'Customer BoQ'!$D$2:$E$220,2,0)</f>
        <v>SWAP PAGG/SCSG HOT SWAP Migration</v>
      </c>
      <c r="F174" t="s">
        <v>768</v>
      </c>
      <c r="G174" t="s">
        <v>700</v>
      </c>
      <c r="H174" s="117">
        <v>25876</v>
      </c>
    </row>
    <row r="175" spans="1:8">
      <c r="A175">
        <v>94</v>
      </c>
      <c r="B175" t="s">
        <v>698</v>
      </c>
      <c r="C175">
        <v>3076732972</v>
      </c>
      <c r="D175" t="str">
        <f>VLOOKUP(C175,'Customer BoQ'!$D$2:$E$220,2,0)</f>
        <v>3HE15663BA</v>
      </c>
      <c r="F175" t="s">
        <v>440</v>
      </c>
      <c r="G175" t="s">
        <v>700</v>
      </c>
      <c r="H175" s="117">
        <v>300</v>
      </c>
    </row>
    <row r="176" spans="1:8">
      <c r="A176">
        <v>137</v>
      </c>
      <c r="B176" t="s">
        <v>698</v>
      </c>
      <c r="C176">
        <v>3038699374</v>
      </c>
      <c r="D176" t="str">
        <f>VLOOKUP(C176,'Customer BoQ'!$D$2:$E$220,2,0)</f>
        <v>CSG_v1 HW Installation &amp; Commissioning</v>
      </c>
      <c r="F176" t="s">
        <v>769</v>
      </c>
      <c r="G176" t="s">
        <v>700</v>
      </c>
      <c r="H176" s="117">
        <v>2004</v>
      </c>
    </row>
    <row r="177" spans="1:10">
      <c r="A177">
        <v>62</v>
      </c>
      <c r="B177" t="s">
        <v>698</v>
      </c>
      <c r="C177">
        <v>3011998039</v>
      </c>
      <c r="D177" t="str">
        <f>VLOOKUP(C177,'Customer BoQ'!$D$2:$E$220,2,0)</f>
        <v>7750 SR-7s Chassis Bundle for Testbed</v>
      </c>
      <c r="F177" t="s">
        <v>770</v>
      </c>
      <c r="G177" t="s">
        <v>700</v>
      </c>
      <c r="H177" s="117">
        <v>0</v>
      </c>
    </row>
    <row r="178" spans="1:10">
      <c r="A178">
        <v>1</v>
      </c>
      <c r="B178" t="s">
        <v>698</v>
      </c>
      <c r="C178">
        <v>3013258069</v>
      </c>
      <c r="D178" t="str">
        <f>VLOOKUP(C178,'Customer BoQ'!$D$2:$E$220,2,0)</f>
        <v>AGGv1 Bundle</v>
      </c>
      <c r="F178" t="s">
        <v>771</v>
      </c>
      <c r="G178" t="s">
        <v>700</v>
      </c>
      <c r="H178" s="117">
        <v>100000</v>
      </c>
    </row>
    <row r="179" spans="1:10">
      <c r="A179">
        <v>203</v>
      </c>
      <c r="B179" t="s">
        <v>698</v>
      </c>
      <c r="C179">
        <v>3073035963</v>
      </c>
      <c r="D179" t="str">
        <f>VLOOKUP(C179,'Customer BoQ'!$D$2:$E$220,2,0)</f>
        <v>Schneider/Nader Output Breakers (Standard-Type) - 40A</v>
      </c>
      <c r="F179" t="s">
        <v>677</v>
      </c>
      <c r="G179" t="s">
        <v>700</v>
      </c>
      <c r="H179" s="117">
        <v>161.69999999999999</v>
      </c>
    </row>
    <row r="180" spans="1:10">
      <c r="A180">
        <v>139</v>
      </c>
      <c r="B180" t="s">
        <v>698</v>
      </c>
      <c r="C180">
        <v>3029993682</v>
      </c>
      <c r="D180" t="str">
        <f>VLOOKUP(C180,'Customer BoQ'!$D$2:$E$220,2,0)</f>
        <v>CSG_v2 HW Installation &amp; Commissioning</v>
      </c>
      <c r="F180" t="s">
        <v>772</v>
      </c>
      <c r="G180" t="s">
        <v>700</v>
      </c>
      <c r="H180" s="117">
        <v>2004</v>
      </c>
    </row>
    <row r="181" spans="1:10">
      <c r="A181">
        <v>7</v>
      </c>
      <c r="B181" t="s">
        <v>698</v>
      </c>
      <c r="C181">
        <v>3093678645</v>
      </c>
      <c r="D181" t="str">
        <f>VLOOKUP(C181,'Customer BoQ'!$D$2:$E$220,2,0)</f>
        <v>AGG 100G Bundle2</v>
      </c>
      <c r="F181" t="s">
        <v>773</v>
      </c>
      <c r="G181" t="s">
        <v>700</v>
      </c>
      <c r="H181" s="117">
        <v>22657.200000000001</v>
      </c>
    </row>
    <row r="182" spans="1:10">
      <c r="A182">
        <v>173</v>
      </c>
      <c r="B182" t="s">
        <v>698</v>
      </c>
      <c r="C182">
        <v>3081879468</v>
      </c>
      <c r="D182" t="str">
        <f>VLOOKUP(C182,'Customer BoQ'!$D$2:$E$220,2,0)</f>
        <v>1AB377380003</v>
      </c>
      <c r="F182" t="s">
        <v>617</v>
      </c>
      <c r="G182" t="s">
        <v>700</v>
      </c>
      <c r="H182" s="117">
        <v>4.5</v>
      </c>
    </row>
    <row r="183" spans="1:10">
      <c r="A183">
        <v>36</v>
      </c>
      <c r="B183" t="s">
        <v>698</v>
      </c>
      <c r="C183">
        <v>3072847588</v>
      </c>
      <c r="D183" t="str">
        <f>VLOOKUP(C183,'Customer BoQ'!$D$2:$E$220,2,0)</f>
        <v>3HE12333AA</v>
      </c>
      <c r="F183" t="s">
        <v>278</v>
      </c>
      <c r="G183" t="s">
        <v>700</v>
      </c>
      <c r="H183" s="117">
        <v>19200</v>
      </c>
    </row>
    <row r="184" spans="1:10">
      <c r="A184">
        <v>44</v>
      </c>
      <c r="B184" t="s">
        <v>698</v>
      </c>
      <c r="C184">
        <v>3063075304</v>
      </c>
      <c r="D184" t="str">
        <f>VLOOKUP(C184,'Customer BoQ'!$D$2:$E$220,2,0)</f>
        <v>SCSG_High_10G Bundle</v>
      </c>
      <c r="F184" t="s">
        <v>774</v>
      </c>
      <c r="G184" t="s">
        <v>700</v>
      </c>
      <c r="H184" s="117">
        <v>11592</v>
      </c>
    </row>
    <row r="185" spans="1:10">
      <c r="A185">
        <v>125</v>
      </c>
      <c r="B185" t="s">
        <v>698</v>
      </c>
      <c r="C185">
        <v>3043338532</v>
      </c>
      <c r="D185" t="str">
        <f>VLOOKUP(C185,'Customer BoQ'!$D$2:$E$220,2,0)</f>
        <v>SWAP Aggregation (Replacement/Upgrade) Migration (Port by Port)</v>
      </c>
      <c r="F185" t="s">
        <v>513</v>
      </c>
      <c r="G185" t="s">
        <v>700</v>
      </c>
      <c r="H185" s="117">
        <v>50000</v>
      </c>
    </row>
    <row r="186" spans="1:10">
      <c r="A186">
        <v>101</v>
      </c>
      <c r="B186" t="s">
        <v>698</v>
      </c>
      <c r="C186">
        <v>3053641003</v>
      </c>
      <c r="D186" t="str">
        <f>VLOOKUP(C186,'Customer BoQ'!$D$2:$E$220,2,0)</f>
        <v>3HE14633AA</v>
      </c>
      <c r="F186" t="s">
        <v>360</v>
      </c>
      <c r="G186" t="s">
        <v>700</v>
      </c>
      <c r="H186" s="117">
        <v>100</v>
      </c>
    </row>
    <row r="187" spans="1:10">
      <c r="A187">
        <v>27</v>
      </c>
      <c r="B187" t="s">
        <v>698</v>
      </c>
      <c r="C187">
        <v>3086200344</v>
      </c>
      <c r="D187" t="str">
        <f>VLOOKUP(C187,'Customer BoQ'!$D$2:$E$220,2,0)</f>
        <v>AGG_SR12E_Upgrade_400G</v>
      </c>
      <c r="F187" t="s">
        <v>775</v>
      </c>
      <c r="G187" t="s">
        <v>700</v>
      </c>
      <c r="H187" s="117">
        <v>70584.289999999994</v>
      </c>
    </row>
    <row r="188" spans="1:10">
      <c r="A188">
        <v>54</v>
      </c>
      <c r="B188" t="s">
        <v>698</v>
      </c>
      <c r="C188">
        <v>3061537595</v>
      </c>
      <c r="D188" t="str">
        <f>VLOOKUP(C188,'Customer BoQ'!$D$2:$E$220,2,0)</f>
        <v>3HELB008AA</v>
      </c>
      <c r="F188" t="s">
        <v>352</v>
      </c>
      <c r="G188" t="s">
        <v>700</v>
      </c>
      <c r="H188" s="117">
        <v>12000</v>
      </c>
    </row>
    <row r="189" spans="1:10">
      <c r="A189">
        <v>158</v>
      </c>
      <c r="B189" t="s">
        <v>698</v>
      </c>
      <c r="C189">
        <v>3010679228</v>
      </c>
      <c r="D189" t="str">
        <f>VLOOKUP(C189,'Customer BoQ'!$D$2:$E$220,2,0)</f>
        <v>24 sprints</v>
      </c>
      <c r="F189" t="s">
        <v>776</v>
      </c>
      <c r="G189" t="s">
        <v>700</v>
      </c>
      <c r="H189" s="117">
        <v>1371955.2</v>
      </c>
    </row>
    <row r="190" spans="1:10">
      <c r="A190">
        <v>182</v>
      </c>
      <c r="B190" t="s">
        <v>698</v>
      </c>
      <c r="C190">
        <v>3082379855</v>
      </c>
      <c r="D190" t="str">
        <f>VLOOKUP(C190,'Customer BoQ'!$D$2:$E$220,2,0)</f>
        <v>Nokia-Power-Upgrade- Single Battery Cell Addition- Hardware (170 Ah)</v>
      </c>
      <c r="F190" t="s">
        <v>636</v>
      </c>
      <c r="G190" t="s">
        <v>700</v>
      </c>
      <c r="H190" s="117">
        <v>272.5</v>
      </c>
    </row>
    <row r="191" spans="1:10">
      <c r="A191">
        <v>126</v>
      </c>
      <c r="B191" t="s">
        <v>698</v>
      </c>
      <c r="C191">
        <v>3075706519</v>
      </c>
      <c r="D191" t="str">
        <f>VLOOKUP(C191,'Customer BoQ'!$D$2:$E$220,2,0)</f>
        <v xml:space="preserve">Nokia AGG-SWAP-Port by Port Migration from multiple nodes to Nokia AGG within the same site </v>
      </c>
      <c r="F191" t="s">
        <v>515</v>
      </c>
      <c r="G191" t="s">
        <v>700</v>
      </c>
      <c r="H191" s="117">
        <v>10000</v>
      </c>
      <c r="I191">
        <v>12</v>
      </c>
      <c r="J191" s="98">
        <f>H191*I191</f>
        <v>120000</v>
      </c>
    </row>
    <row r="192" spans="1:10">
      <c r="A192">
        <v>46</v>
      </c>
      <c r="B192" t="s">
        <v>698</v>
      </c>
      <c r="C192">
        <v>3084370884</v>
      </c>
      <c r="D192" t="str">
        <f>VLOOKUP(C192,'Customer BoQ'!$D$2:$E$220,2,0)</f>
        <v>IXR 100G to 400G Upgrade Bundle</v>
      </c>
      <c r="F192" t="s">
        <v>777</v>
      </c>
      <c r="G192" t="s">
        <v>700</v>
      </c>
      <c r="H192" s="117">
        <v>63000</v>
      </c>
    </row>
    <row r="193" spans="1:10">
      <c r="A193">
        <v>179</v>
      </c>
      <c r="B193" t="s">
        <v>698</v>
      </c>
      <c r="C193">
        <v>3083057969</v>
      </c>
      <c r="D193" t="str">
        <f>VLOOKUP(C193,'Customer BoQ'!$D$2:$E$220,2,0)</f>
        <v>3BK08958BA</v>
      </c>
      <c r="F193" t="s">
        <v>629</v>
      </c>
      <c r="G193" t="s">
        <v>700</v>
      </c>
      <c r="H193" s="117">
        <v>5.81</v>
      </c>
    </row>
    <row r="194" spans="1:10">
      <c r="A194">
        <v>191</v>
      </c>
      <c r="B194" t="s">
        <v>698</v>
      </c>
      <c r="C194">
        <v>3011573128</v>
      </c>
      <c r="D194" t="str">
        <f>VLOOKUP(C194,'Customer BoQ'!$D$2:$E$220,2,0)</f>
        <v>ODF Patch panels (72)</v>
      </c>
      <c r="F194" t="s">
        <v>654</v>
      </c>
      <c r="G194" t="s">
        <v>700</v>
      </c>
      <c r="H194" s="117">
        <v>1443.75</v>
      </c>
    </row>
    <row r="195" spans="1:10">
      <c r="A195">
        <v>93</v>
      </c>
      <c r="B195" t="s">
        <v>698</v>
      </c>
      <c r="C195">
        <v>3098721057</v>
      </c>
      <c r="D195" t="str">
        <f>VLOOKUP(C195,'Customer BoQ'!$D$2:$E$220,2,0)</f>
        <v>3HE15662BA</v>
      </c>
      <c r="F195" t="s">
        <v>438</v>
      </c>
      <c r="G195" t="s">
        <v>700</v>
      </c>
      <c r="H195" s="117">
        <v>300</v>
      </c>
    </row>
    <row r="196" spans="1:10">
      <c r="A196">
        <v>40</v>
      </c>
      <c r="B196" t="s">
        <v>698</v>
      </c>
      <c r="C196">
        <v>3039441163</v>
      </c>
      <c r="D196" t="str">
        <f>VLOOKUP(C196,'Customer BoQ'!$D$2:$E$220,2,0)</f>
        <v>SCSG_Low Bundle1</v>
      </c>
      <c r="F196" t="s">
        <v>778</v>
      </c>
      <c r="G196" t="s">
        <v>700</v>
      </c>
      <c r="H196" s="117">
        <v>26987.98</v>
      </c>
    </row>
    <row r="197" spans="1:10">
      <c r="A197">
        <v>177</v>
      </c>
      <c r="B197" t="s">
        <v>698</v>
      </c>
      <c r="C197">
        <v>3077725595</v>
      </c>
      <c r="D197" t="str">
        <f>VLOOKUP(C197,'Customer BoQ'!$D$2:$E$220,2,0)</f>
        <v>1AD147550002</v>
      </c>
      <c r="F197" t="s">
        <v>625</v>
      </c>
      <c r="G197" t="s">
        <v>700</v>
      </c>
      <c r="H197" s="117">
        <v>211</v>
      </c>
    </row>
    <row r="198" spans="1:10">
      <c r="A198">
        <v>69</v>
      </c>
      <c r="B198" t="s">
        <v>698</v>
      </c>
      <c r="C198">
        <v>3027907052</v>
      </c>
      <c r="D198" t="str">
        <f>VLOOKUP(C198,'Customer BoQ'!$D$2:$E$220,2,0)</f>
        <v>3HE10551AA</v>
      </c>
      <c r="F198" t="s">
        <v>779</v>
      </c>
      <c r="G198" t="s">
        <v>700</v>
      </c>
      <c r="H198" s="117">
        <v>2000</v>
      </c>
    </row>
    <row r="199" spans="1:10">
      <c r="A199">
        <v>161</v>
      </c>
      <c r="B199" t="s">
        <v>698</v>
      </c>
      <c r="C199">
        <v>3050707920</v>
      </c>
      <c r="D199" t="str">
        <f>VLOOKUP(C199,'Customer BoQ'!$D$2:$E$220,2,0)</f>
        <v>Nokia-OS-Upgrade-AGG-Service</v>
      </c>
      <c r="F199" t="s">
        <v>587</v>
      </c>
      <c r="G199" t="s">
        <v>700</v>
      </c>
      <c r="H199" s="117">
        <v>1548.8</v>
      </c>
    </row>
    <row r="200" spans="1:10">
      <c r="A200">
        <v>151</v>
      </c>
      <c r="B200" t="s">
        <v>698</v>
      </c>
      <c r="C200">
        <v>3027390070</v>
      </c>
      <c r="D200" t="str">
        <f>VLOOKUP(C200,'Customer BoQ'!$D$2:$E$220,2,0)</f>
        <v>Nokia-Design-Service</v>
      </c>
      <c r="F200" t="s">
        <v>567</v>
      </c>
      <c r="G200" t="s">
        <v>700</v>
      </c>
      <c r="H200" s="117">
        <v>0</v>
      </c>
    </row>
    <row r="201" spans="1:10">
      <c r="A201">
        <v>89</v>
      </c>
      <c r="B201" t="s">
        <v>698</v>
      </c>
      <c r="C201">
        <v>3016646068</v>
      </c>
      <c r="D201" t="str">
        <f>VLOOKUP(C201,'Customer BoQ'!$D$2:$E$220,2,0)</f>
        <v>100G/400G Amplifier Bundle</v>
      </c>
      <c r="F201" t="s">
        <v>780</v>
      </c>
      <c r="G201" t="s">
        <v>700</v>
      </c>
      <c r="H201" s="117">
        <v>4337.8</v>
      </c>
    </row>
    <row r="202" spans="1:10">
      <c r="A202">
        <v>18</v>
      </c>
      <c r="B202" t="s">
        <v>698</v>
      </c>
      <c r="C202">
        <v>3068077766</v>
      </c>
      <c r="D202" t="str">
        <f>VLOOKUP(C202,'Customer BoQ'!$D$2:$E$220,2,0)</f>
        <v>3HE11305AA</v>
      </c>
      <c r="F202" t="s">
        <v>197</v>
      </c>
      <c r="G202" t="s">
        <v>700</v>
      </c>
      <c r="H202" s="117">
        <v>11600</v>
      </c>
    </row>
    <row r="203" spans="1:10">
      <c r="A203">
        <v>65</v>
      </c>
      <c r="B203" t="s">
        <v>698</v>
      </c>
      <c r="C203">
        <v>3084862463</v>
      </c>
      <c r="D203" t="str">
        <f>VLOOKUP(C203,'Customer BoQ'!$D$2:$E$220,2,0)</f>
        <v>3HE16564AA</v>
      </c>
      <c r="F203" t="s">
        <v>781</v>
      </c>
      <c r="G203" t="s">
        <v>700</v>
      </c>
      <c r="H203" s="117">
        <v>7300</v>
      </c>
    </row>
    <row r="204" spans="1:10">
      <c r="A204">
        <v>6</v>
      </c>
      <c r="B204" t="s">
        <v>698</v>
      </c>
      <c r="C204">
        <v>3076787939</v>
      </c>
      <c r="D204" t="str">
        <f>VLOOKUP(C204,'Customer BoQ'!$D$2:$E$220,2,0)</f>
        <v>AGG 100G Bundle1</v>
      </c>
      <c r="F204" t="s">
        <v>782</v>
      </c>
      <c r="G204" t="s">
        <v>700</v>
      </c>
      <c r="H204" s="117">
        <v>36520</v>
      </c>
    </row>
    <row r="205" spans="1:10">
      <c r="A205">
        <v>132</v>
      </c>
      <c r="B205" t="s">
        <v>698</v>
      </c>
      <c r="C205">
        <v>3098507232</v>
      </c>
      <c r="D205" t="str">
        <f>VLOOKUP(C205,'Customer BoQ'!$D$2:$E$220,2,0)</f>
        <v xml:space="preserve">SWAP PAGG/SCSG HW Installation &amp; Commissioning </v>
      </c>
      <c r="F205" t="s">
        <v>783</v>
      </c>
      <c r="G205" t="s">
        <v>700</v>
      </c>
      <c r="H205" s="117">
        <v>6000</v>
      </c>
    </row>
    <row r="206" spans="1:10">
      <c r="A206">
        <v>144</v>
      </c>
      <c r="B206" t="s">
        <v>698</v>
      </c>
      <c r="C206">
        <v>3015616247</v>
      </c>
      <c r="D206" t="str">
        <f>VLOOKUP(C206,'Customer BoQ'!$D$2:$E$220,2,0)</f>
        <v>3rd Party CSG Migration</v>
      </c>
      <c r="F206" t="s">
        <v>784</v>
      </c>
      <c r="G206" t="s">
        <v>700</v>
      </c>
      <c r="H206" s="117">
        <v>500</v>
      </c>
      <c r="I206">
        <v>112</v>
      </c>
      <c r="J206" s="98">
        <f>H206*I206</f>
        <v>56000</v>
      </c>
    </row>
    <row r="207" spans="1:10">
      <c r="A207">
        <v>100</v>
      </c>
      <c r="B207" t="s">
        <v>698</v>
      </c>
      <c r="C207">
        <v>3015902050</v>
      </c>
      <c r="D207" t="str">
        <f>VLOOKUP(C207,'Customer BoQ'!$D$2:$E$220,2,0)</f>
        <v>3HELB019AA</v>
      </c>
      <c r="F207" t="s">
        <v>450</v>
      </c>
      <c r="G207" t="s">
        <v>700</v>
      </c>
      <c r="H207" s="117">
        <v>100</v>
      </c>
    </row>
    <row r="208" spans="1:10">
      <c r="A208">
        <v>213</v>
      </c>
      <c r="B208" t="s">
        <v>698</v>
      </c>
      <c r="C208">
        <v>3083845280</v>
      </c>
      <c r="D208" t="str">
        <f>VLOOKUP(C208,'Customer BoQ'!$D$2:$E$220,2,0)</f>
        <v>Deliver custom software artefacts of one sprint</v>
      </c>
      <c r="F208" t="s">
        <v>785</v>
      </c>
      <c r="G208" t="s">
        <v>700</v>
      </c>
      <c r="H208" s="117">
        <v>74088</v>
      </c>
      <c r="I208">
        <v>2</v>
      </c>
      <c r="J208" s="98">
        <f>H208*I208</f>
        <v>148176</v>
      </c>
    </row>
    <row r="209" spans="1:10">
      <c r="A209">
        <v>217</v>
      </c>
      <c r="B209" t="s">
        <v>698</v>
      </c>
      <c r="C209">
        <v>3083845280</v>
      </c>
      <c r="D209" t="str">
        <f>VLOOKUP(C209,'Customer BoQ'!$D$2:$E$220,2,0)</f>
        <v>Deliver custom software artefacts of one sprint</v>
      </c>
      <c r="F209" t="s">
        <v>785</v>
      </c>
      <c r="G209" t="s">
        <v>700</v>
      </c>
      <c r="H209" s="117">
        <v>74088</v>
      </c>
      <c r="J209" s="98"/>
    </row>
    <row r="210" spans="1:10">
      <c r="A210">
        <v>117</v>
      </c>
      <c r="B210" t="s">
        <v>698</v>
      </c>
      <c r="C210">
        <v>3085159011</v>
      </c>
      <c r="D210" t="str">
        <f>VLOOKUP(C210,'Customer BoQ'!$D$2:$E$220,2,0)</f>
        <v>3HENSPTSC</v>
      </c>
      <c r="F210" t="s">
        <v>497</v>
      </c>
      <c r="G210" t="s">
        <v>700</v>
      </c>
      <c r="H210" s="117">
        <v>200000</v>
      </c>
      <c r="J210" s="97"/>
    </row>
    <row r="211" spans="1:10">
      <c r="A211">
        <v>128</v>
      </c>
      <c r="B211" t="s">
        <v>698</v>
      </c>
      <c r="C211">
        <v>3076929792</v>
      </c>
      <c r="D211" t="str">
        <f>VLOOKUP(C211,'Customer BoQ'!$D$2:$E$220,2,0)</f>
        <v>Nokia AGG-SWAP-Port by Port Migration from multiple nodes to Nokia AGG from a different physical site</v>
      </c>
      <c r="F211" t="s">
        <v>519</v>
      </c>
      <c r="G211" t="s">
        <v>700</v>
      </c>
      <c r="H211" s="117">
        <v>10000</v>
      </c>
      <c r="J211" s="97"/>
    </row>
    <row r="212" spans="1:10">
      <c r="A212">
        <v>73</v>
      </c>
      <c r="B212" t="s">
        <v>698</v>
      </c>
      <c r="C212">
        <v>3064946462</v>
      </c>
      <c r="D212" t="str">
        <f>VLOOKUP(C212,'Customer BoQ'!$D$2:$E$220,2,0)</f>
        <v>3HE14835AA</v>
      </c>
      <c r="F212" t="s">
        <v>786</v>
      </c>
      <c r="G212" t="s">
        <v>700</v>
      </c>
      <c r="H212" s="117">
        <v>1370.63</v>
      </c>
    </row>
    <row r="213" spans="1:10">
      <c r="A213">
        <v>24</v>
      </c>
      <c r="B213" t="s">
        <v>698</v>
      </c>
      <c r="C213">
        <v>3086323707</v>
      </c>
      <c r="D213" t="str">
        <f>VLOOKUP(C213,'Customer BoQ'!$D$2:$E$220,2,0)</f>
        <v>3HE12513AA</v>
      </c>
      <c r="F213" t="s">
        <v>237</v>
      </c>
      <c r="G213" t="s">
        <v>700</v>
      </c>
      <c r="H213" s="117">
        <v>16750</v>
      </c>
      <c r="J213" s="97"/>
    </row>
    <row r="214" spans="1:10">
      <c r="A214">
        <v>221</v>
      </c>
      <c r="B214" t="s">
        <v>698</v>
      </c>
      <c r="C214">
        <v>3025958046</v>
      </c>
      <c r="D214" t="str">
        <f>VLOOKUP(C214,'Customer BoQ'!$D$2:$E$220,2,0)</f>
        <v>Design Update on BNG for VAS (subcriber based firewall enablement), Design validation and lab testing</v>
      </c>
      <c r="F214" t="s">
        <v>787</v>
      </c>
      <c r="G214" t="s">
        <v>700</v>
      </c>
      <c r="H214" s="117">
        <v>27057.439999999999</v>
      </c>
    </row>
    <row r="215" spans="1:10">
      <c r="A215">
        <v>223</v>
      </c>
      <c r="B215" t="s">
        <v>698</v>
      </c>
      <c r="C215">
        <v>3025958048</v>
      </c>
      <c r="D215" t="e">
        <f>VLOOKUP(C215,'Customer BoQ'!$D$2:$E$220,2,0)</f>
        <v>#N/A</v>
      </c>
      <c r="F215" t="s">
        <v>788</v>
      </c>
      <c r="G215" t="s">
        <v>700</v>
      </c>
      <c r="H215" s="117">
        <v>9000</v>
      </c>
    </row>
    <row r="216" spans="1:10">
      <c r="A216">
        <v>45</v>
      </c>
      <c r="B216" t="s">
        <v>698</v>
      </c>
      <c r="C216">
        <v>3079190070</v>
      </c>
      <c r="D216" t="str">
        <f>VLOOKUP(C216,'Customer BoQ'!$D$2:$E$220,2,0)</f>
        <v>SCSG_10G_Bundle</v>
      </c>
      <c r="F216" t="s">
        <v>789</v>
      </c>
      <c r="G216" t="s">
        <v>700</v>
      </c>
      <c r="H216" s="117">
        <v>7598</v>
      </c>
    </row>
    <row r="217" spans="1:10">
      <c r="A217">
        <v>21</v>
      </c>
      <c r="B217" t="s">
        <v>698</v>
      </c>
      <c r="C217">
        <v>3022852775</v>
      </c>
      <c r="D217" t="str">
        <f>VLOOKUP(C217,'Customer BoQ'!$D$2:$E$220,2,0)</f>
        <v>3HE12510BA</v>
      </c>
      <c r="F217" t="s">
        <v>204</v>
      </c>
      <c r="G217" t="s">
        <v>700</v>
      </c>
      <c r="H217" s="117">
        <v>32000</v>
      </c>
    </row>
    <row r="218" spans="1:10">
      <c r="A218">
        <v>163</v>
      </c>
      <c r="B218" t="s">
        <v>698</v>
      </c>
      <c r="C218">
        <v>3036282449</v>
      </c>
      <c r="D218" t="str">
        <f>VLOOKUP(C218,'Customer BoQ'!$D$2:$E$220,2,0)</f>
        <v>Nokia-OS-Upgrade-CSG-Service</v>
      </c>
      <c r="F218" t="s">
        <v>591</v>
      </c>
      <c r="G218" t="s">
        <v>700</v>
      </c>
      <c r="H218" s="117">
        <v>774.4</v>
      </c>
    </row>
    <row r="219" spans="1:10">
      <c r="A219">
        <v>107</v>
      </c>
      <c r="B219" t="s">
        <v>698</v>
      </c>
      <c r="C219">
        <v>3096766625</v>
      </c>
      <c r="D219" t="str">
        <f>VLOOKUP(C219,'Customer BoQ'!$D$2:$E$220,2,0)</f>
        <v>3HE14307AA-BL</v>
      </c>
      <c r="F219" t="s">
        <v>476</v>
      </c>
      <c r="G219" t="s">
        <v>700</v>
      </c>
      <c r="H219" s="117">
        <v>5000</v>
      </c>
    </row>
    <row r="220" spans="1:10">
      <c r="A220">
        <v>189</v>
      </c>
      <c r="B220" t="s">
        <v>698</v>
      </c>
      <c r="C220">
        <v>3065581368</v>
      </c>
      <c r="D220" t="str">
        <f>VLOOKUP(C220,'Customer BoQ'!$D$2:$E$220,2,0)</f>
        <v>ODF-patch-panels-144</v>
      </c>
      <c r="F220" t="s">
        <v>650</v>
      </c>
      <c r="G220" t="s">
        <v>700</v>
      </c>
      <c r="H220" s="117">
        <v>608.75</v>
      </c>
    </row>
    <row r="221" spans="1:10">
      <c r="A221">
        <v>165</v>
      </c>
      <c r="B221" t="s">
        <v>698</v>
      </c>
      <c r="C221">
        <v>3039471496</v>
      </c>
      <c r="D221" t="str">
        <f>VLOOKUP(C221,'Customer BoQ'!$D$2:$E$220,2,0)</f>
        <v>Nokia-OS-PAGG/SCSG SW Upgrade</v>
      </c>
      <c r="F221" t="s">
        <v>595</v>
      </c>
      <c r="G221" t="s">
        <v>700</v>
      </c>
      <c r="H221" s="117">
        <v>1548.8</v>
      </c>
    </row>
    <row r="222" spans="1:10">
      <c r="A222">
        <v>31</v>
      </c>
      <c r="B222" t="s">
        <v>698</v>
      </c>
      <c r="C222">
        <v>3011729542</v>
      </c>
      <c r="D222" t="str">
        <f>VLOOKUP(C222,'Customer BoQ'!$D$2:$E$220,2,0)</f>
        <v>3HE12332BA</v>
      </c>
      <c r="F222" t="s">
        <v>790</v>
      </c>
      <c r="G222" t="s">
        <v>700</v>
      </c>
      <c r="H222" s="117">
        <v>28500</v>
      </c>
    </row>
    <row r="223" spans="1:10">
      <c r="A223">
        <v>17</v>
      </c>
      <c r="B223" t="s">
        <v>698</v>
      </c>
      <c r="C223">
        <v>3010866762</v>
      </c>
      <c r="D223" t="str">
        <f>VLOOKUP(C223,'Customer BoQ'!$D$2:$E$220,2,0)</f>
        <v>3HE12525BA</v>
      </c>
      <c r="F223" t="s">
        <v>263</v>
      </c>
      <c r="G223" t="s">
        <v>700</v>
      </c>
      <c r="H223" s="117">
        <v>24000</v>
      </c>
    </row>
    <row r="224" spans="1:10">
      <c r="A224">
        <v>209</v>
      </c>
      <c r="B224" t="s">
        <v>698</v>
      </c>
      <c r="C224">
        <v>3084723953</v>
      </c>
      <c r="D224" t="str">
        <f>VLOOKUP(C224,'Customer BoQ'!$D$2:$E$220,2,0)</f>
        <v>Vertiv/Delta Rectifier Power Module for upgrades -2000W -</v>
      </c>
      <c r="F224" t="s">
        <v>688</v>
      </c>
      <c r="G224" t="s">
        <v>700</v>
      </c>
      <c r="H224" s="117">
        <v>187.14</v>
      </c>
    </row>
    <row r="225" spans="1:10">
      <c r="A225">
        <v>47</v>
      </c>
      <c r="B225" t="s">
        <v>698</v>
      </c>
      <c r="C225">
        <v>3085683030</v>
      </c>
      <c r="D225" t="str">
        <f>VLOOKUP(C225,'Customer BoQ'!$D$2:$E$220,2,0)</f>
        <v>3HE16717AA</v>
      </c>
      <c r="F225" t="s">
        <v>309</v>
      </c>
      <c r="G225" t="s">
        <v>700</v>
      </c>
      <c r="H225" s="117">
        <v>8550</v>
      </c>
    </row>
    <row r="226" spans="1:10">
      <c r="A226">
        <v>106</v>
      </c>
      <c r="B226" t="s">
        <v>698</v>
      </c>
      <c r="C226">
        <v>3050242300</v>
      </c>
      <c r="D226" t="str">
        <f>VLOOKUP(C226,'Customer BoQ'!$D$2:$E$220,2,0)</f>
        <v>3HE16254NSP</v>
      </c>
      <c r="F226" t="s">
        <v>791</v>
      </c>
      <c r="G226" t="s">
        <v>700</v>
      </c>
      <c r="H226" s="117">
        <v>28</v>
      </c>
    </row>
    <row r="227" spans="1:10">
      <c r="A227">
        <v>110</v>
      </c>
      <c r="B227" t="s">
        <v>698</v>
      </c>
      <c r="C227">
        <v>3073697614</v>
      </c>
      <c r="D227" t="str">
        <f>VLOOKUP(C227,'Customer BoQ'!$D$2:$E$220,2,0)</f>
        <v>3HE16016AA</v>
      </c>
      <c r="F227" t="s">
        <v>483</v>
      </c>
      <c r="G227" t="s">
        <v>700</v>
      </c>
      <c r="H227" s="117">
        <v>450</v>
      </c>
    </row>
    <row r="228" spans="1:10">
      <c r="A228">
        <v>85</v>
      </c>
      <c r="B228" t="s">
        <v>698</v>
      </c>
      <c r="C228">
        <v>3025928692</v>
      </c>
      <c r="D228" t="str">
        <f>VLOOKUP(C228,'Customer BoQ'!$D$2:$E$220,2,0)</f>
        <v>3HE400GLRtoZR</v>
      </c>
      <c r="F228" t="s">
        <v>418</v>
      </c>
      <c r="G228" t="s">
        <v>700</v>
      </c>
      <c r="H228" s="117">
        <v>2300</v>
      </c>
    </row>
    <row r="229" spans="1:10">
      <c r="A229">
        <v>109</v>
      </c>
      <c r="B229" t="s">
        <v>698</v>
      </c>
      <c r="C229">
        <v>3019208415</v>
      </c>
      <c r="D229" t="str">
        <f>VLOOKUP(C229,'Customer BoQ'!$D$2:$E$220,2,0)</f>
        <v>3HE15610AA</v>
      </c>
      <c r="F229" t="s">
        <v>481</v>
      </c>
      <c r="G229" t="s">
        <v>700</v>
      </c>
      <c r="H229" s="117">
        <v>785</v>
      </c>
    </row>
    <row r="230" spans="1:10">
      <c r="A230">
        <v>140</v>
      </c>
      <c r="B230" t="s">
        <v>698</v>
      </c>
      <c r="C230">
        <v>3021241643</v>
      </c>
      <c r="D230" t="str">
        <f>VLOOKUP(C230,'Customer BoQ'!$D$2:$E$220,2,0)</f>
        <v>CSG_v2 Migration</v>
      </c>
      <c r="F230" t="s">
        <v>792</v>
      </c>
      <c r="G230" t="s">
        <v>700</v>
      </c>
      <c r="H230" s="117">
        <v>988</v>
      </c>
    </row>
    <row r="231" spans="1:10">
      <c r="I231" t="s">
        <v>933</v>
      </c>
      <c r="J231" s="97">
        <f>SUM(J1:J230)</f>
        <v>324176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21A65-9796-4384-92F8-EF36D2EC7E8B}">
  <dimension ref="F4:H9"/>
  <sheetViews>
    <sheetView zoomScale="106" zoomScaleNormal="85" workbookViewId="0">
      <selection activeCell="F16" sqref="F16"/>
    </sheetView>
  </sheetViews>
  <sheetFormatPr defaultRowHeight="15"/>
  <cols>
    <col min="6" max="6" width="46.42578125" customWidth="1"/>
    <col min="7" max="7" width="8.42578125" customWidth="1"/>
    <col min="8" max="8" width="34.7109375" customWidth="1"/>
  </cols>
  <sheetData>
    <row r="4" spans="6:8" ht="15.75" thickBot="1"/>
    <row r="5" spans="6:8" ht="15.75" thickBot="1">
      <c r="F5" s="88" t="s">
        <v>809</v>
      </c>
      <c r="G5" s="88" t="s">
        <v>810</v>
      </c>
      <c r="H5" s="89" t="s">
        <v>697</v>
      </c>
    </row>
    <row r="6" spans="6:8" ht="15.75" thickBot="1">
      <c r="F6" s="90" t="s">
        <v>811</v>
      </c>
      <c r="G6" s="95"/>
      <c r="H6" s="91">
        <f>'Synch Source'!F4</f>
        <v>177674.72</v>
      </c>
    </row>
    <row r="7" spans="6:8" ht="15.75" thickBot="1">
      <c r="F7" s="90" t="s">
        <v>925</v>
      </c>
      <c r="G7" s="95"/>
      <c r="H7" s="91">
        <v>90000</v>
      </c>
    </row>
    <row r="8" spans="6:8" ht="15.75" thickBot="1">
      <c r="F8" s="90" t="s">
        <v>812</v>
      </c>
      <c r="G8" s="95"/>
      <c r="H8" s="91">
        <f>'Fixed Switch Migration'!F3</f>
        <v>56000</v>
      </c>
    </row>
    <row r="9" spans="6:8" ht="15.75" thickBot="1">
      <c r="F9" s="92" t="s">
        <v>813</v>
      </c>
      <c r="G9" s="92"/>
      <c r="H9" s="93">
        <f>SUM(H6:H8)</f>
        <v>323674.71999999997</v>
      </c>
    </row>
  </sheetData>
  <conditionalFormatting sqref="F6:F8">
    <cfRule type="duplicateValues" dxfId="3" priority="72"/>
    <cfRule type="duplicateValues" dxfId="2" priority="73"/>
    <cfRule type="duplicateValues" dxfId="1" priority="74"/>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EDD1F-A12D-46D4-8975-D5089CD64156}">
  <dimension ref="A1:J70"/>
  <sheetViews>
    <sheetView topLeftCell="A16" zoomScale="90" zoomScaleNormal="90" workbookViewId="0">
      <selection activeCell="D24" sqref="D24"/>
    </sheetView>
  </sheetViews>
  <sheetFormatPr defaultRowHeight="15"/>
  <cols>
    <col min="1" max="2" width="29.42578125" customWidth="1"/>
    <col min="3" max="3" width="58.42578125" customWidth="1"/>
    <col min="4" max="4" width="33.140625" customWidth="1"/>
    <col min="5" max="5" width="12.85546875" customWidth="1"/>
    <col min="6" max="6" width="15.85546875" bestFit="1" customWidth="1"/>
    <col min="7" max="7" width="35.42578125" customWidth="1"/>
    <col min="8" max="8" width="14.140625" bestFit="1" customWidth="1"/>
    <col min="9" max="9" width="13.85546875" bestFit="1" customWidth="1"/>
  </cols>
  <sheetData>
    <row r="1" spans="1:8">
      <c r="A1" s="103" t="s">
        <v>814</v>
      </c>
      <c r="B1" s="103" t="s">
        <v>932</v>
      </c>
      <c r="C1" s="103" t="s">
        <v>183</v>
      </c>
      <c r="D1" s="103" t="s">
        <v>697</v>
      </c>
      <c r="E1" s="104" t="s">
        <v>810</v>
      </c>
      <c r="F1" s="105" t="s">
        <v>815</v>
      </c>
    </row>
    <row r="2" spans="1:8" ht="60">
      <c r="A2" s="1" t="s">
        <v>818</v>
      </c>
      <c r="B2" s="1"/>
      <c r="C2" s="1" t="s">
        <v>819</v>
      </c>
      <c r="D2" s="94">
        <v>37674.720000000001</v>
      </c>
      <c r="E2" s="2">
        <v>1</v>
      </c>
      <c r="F2" s="106">
        <f>D2*E2</f>
        <v>37674.720000000001</v>
      </c>
    </row>
    <row r="3" spans="1:8" ht="60">
      <c r="A3" s="1" t="s">
        <v>518</v>
      </c>
      <c r="B3">
        <v>3075706519</v>
      </c>
      <c r="C3" s="1" t="str">
        <f>VLOOKUP(A3,'Customer BoQ'!A:B,2,0)</f>
        <v>Nokia AGG- SWAP-Port by Port Migration incl. Automated Migration execution, testing and acceptance services [from multiple nodes to Nokia AGG from a different physical site [up to 3 nodes]for maximum of 10 ports]</v>
      </c>
      <c r="D3" s="94">
        <f>VLOOKUP(A3,'Customer BoQ'!A:C,3,0)</f>
        <v>10000</v>
      </c>
      <c r="E3" s="2">
        <v>14</v>
      </c>
      <c r="F3" s="106">
        <f>D3*E3</f>
        <v>140000</v>
      </c>
    </row>
    <row r="4" spans="1:8">
      <c r="A4" s="40"/>
      <c r="B4" s="40"/>
      <c r="C4" s="40"/>
      <c r="D4" s="40"/>
      <c r="E4" s="40"/>
      <c r="F4" s="107">
        <f>SUM(F2:F3)</f>
        <v>177674.72</v>
      </c>
      <c r="H4" s="98"/>
    </row>
    <row r="5" spans="1:8">
      <c r="G5" s="98"/>
    </row>
    <row r="6" spans="1:8">
      <c r="D6" s="11"/>
      <c r="E6" s="97"/>
      <c r="G6" s="97"/>
    </row>
    <row r="7" spans="1:8">
      <c r="A7" s="148"/>
      <c r="B7" s="148"/>
      <c r="D7" s="11"/>
      <c r="E7" s="97"/>
      <c r="G7" s="97"/>
    </row>
    <row r="8" spans="1:8">
      <c r="A8" s="108" t="s">
        <v>820</v>
      </c>
      <c r="B8" s="108"/>
    </row>
    <row r="9" spans="1:8">
      <c r="A9" t="s">
        <v>927</v>
      </c>
    </row>
    <row r="11" spans="1:8">
      <c r="A11" s="109"/>
      <c r="B11" s="109"/>
    </row>
    <row r="12" spans="1:8">
      <c r="A12" s="108" t="s">
        <v>821</v>
      </c>
      <c r="B12" s="108"/>
    </row>
    <row r="13" spans="1:8">
      <c r="A13" t="s">
        <v>822</v>
      </c>
    </row>
    <row r="14" spans="1:8">
      <c r="A14" t="s">
        <v>823</v>
      </c>
    </row>
    <row r="16" spans="1:8">
      <c r="A16" t="s">
        <v>824</v>
      </c>
    </row>
    <row r="17" spans="1:10">
      <c r="A17" s="11"/>
      <c r="B17" s="11"/>
      <c r="C17" s="11"/>
      <c r="D17" s="11"/>
      <c r="E17" s="110"/>
      <c r="F17" s="11"/>
      <c r="G17" s="111"/>
      <c r="H17" s="11"/>
      <c r="I17" s="11"/>
      <c r="J17" s="11"/>
    </row>
    <row r="20" spans="1:10" ht="15.75" thickBot="1">
      <c r="A20" s="118"/>
      <c r="B20" s="118"/>
      <c r="C20" s="119" t="s">
        <v>825</v>
      </c>
      <c r="D20" s="120" t="s">
        <v>826</v>
      </c>
      <c r="E20" s="118"/>
      <c r="F20" s="118"/>
      <c r="G20" s="118"/>
      <c r="H20" s="118"/>
      <c r="I20" s="118"/>
      <c r="J20" s="118"/>
    </row>
    <row r="21" spans="1:10" ht="29.25">
      <c r="A21" s="118"/>
      <c r="B21" s="118"/>
      <c r="C21" s="121" t="s">
        <v>827</v>
      </c>
      <c r="D21" s="122">
        <v>36</v>
      </c>
      <c r="E21" s="118"/>
      <c r="F21" s="118"/>
      <c r="G21" s="118"/>
      <c r="H21" s="118"/>
      <c r="I21" s="118"/>
      <c r="J21" s="118"/>
    </row>
    <row r="22" spans="1:10" ht="29.25">
      <c r="A22" s="118"/>
      <c r="B22" s="118"/>
      <c r="C22" s="123" t="s">
        <v>828</v>
      </c>
      <c r="D22" s="124">
        <v>34</v>
      </c>
      <c r="E22" s="118"/>
      <c r="F22" s="118"/>
      <c r="G22" s="118"/>
      <c r="H22" s="118"/>
      <c r="I22" s="118"/>
      <c r="J22" s="118"/>
    </row>
    <row r="23" spans="1:10" ht="29.25">
      <c r="A23" s="118"/>
      <c r="B23" s="118"/>
      <c r="C23" s="125" t="s">
        <v>829</v>
      </c>
      <c r="D23" s="126">
        <v>8</v>
      </c>
      <c r="E23" s="118"/>
      <c r="F23" s="118"/>
      <c r="G23" s="118"/>
      <c r="H23" s="118"/>
      <c r="I23" s="118"/>
      <c r="J23" s="118"/>
    </row>
    <row r="24" spans="1:10">
      <c r="A24" s="118"/>
      <c r="B24" s="118"/>
      <c r="C24" s="118"/>
      <c r="D24" s="118"/>
      <c r="E24" s="118"/>
      <c r="F24" s="118"/>
      <c r="G24" s="118"/>
      <c r="H24" s="118"/>
      <c r="I24" s="118"/>
      <c r="J24" s="118"/>
    </row>
    <row r="25" spans="1:10">
      <c r="A25" s="118" t="s">
        <v>926</v>
      </c>
      <c r="B25" s="118"/>
      <c r="C25" s="118"/>
      <c r="D25" s="118"/>
      <c r="E25" s="118"/>
      <c r="F25" s="118"/>
      <c r="G25" s="118"/>
      <c r="H25" s="118"/>
      <c r="I25" s="118"/>
      <c r="J25" s="118"/>
    </row>
    <row r="26" spans="1:10">
      <c r="A26" s="127" t="s">
        <v>830</v>
      </c>
      <c r="B26" s="128"/>
      <c r="C26" s="128" t="s">
        <v>831</v>
      </c>
      <c r="D26" s="118"/>
      <c r="E26" s="118"/>
      <c r="F26" s="118"/>
      <c r="G26" s="118"/>
      <c r="H26" s="118"/>
      <c r="I26" s="118"/>
      <c r="J26" s="118"/>
    </row>
    <row r="27" spans="1:10">
      <c r="A27" s="129" t="s">
        <v>832</v>
      </c>
      <c r="B27" s="130"/>
      <c r="C27" s="130" t="s">
        <v>833</v>
      </c>
      <c r="D27" s="118"/>
      <c r="E27" s="118"/>
      <c r="F27" s="118"/>
      <c r="G27" s="118"/>
      <c r="H27" s="118"/>
      <c r="I27" s="118"/>
      <c r="J27" s="118"/>
    </row>
    <row r="28" spans="1:10">
      <c r="A28" s="131" t="s">
        <v>834</v>
      </c>
      <c r="B28" s="132"/>
      <c r="C28" s="132" t="s">
        <v>835</v>
      </c>
      <c r="D28" s="118"/>
      <c r="E28" s="118"/>
      <c r="F28" s="118"/>
      <c r="G28" s="118"/>
      <c r="H28" s="118"/>
      <c r="I28" s="118"/>
      <c r="J28" s="118"/>
    </row>
    <row r="29" spans="1:10">
      <c r="A29" s="129" t="s">
        <v>816</v>
      </c>
      <c r="B29" s="130"/>
      <c r="C29" s="130" t="s">
        <v>836</v>
      </c>
      <c r="D29" s="118"/>
      <c r="E29" s="118"/>
      <c r="F29" s="118"/>
      <c r="G29" s="118"/>
      <c r="H29" s="118"/>
      <c r="I29" s="118"/>
      <c r="J29" s="118"/>
    </row>
    <row r="30" spans="1:10">
      <c r="A30" s="131" t="s">
        <v>817</v>
      </c>
      <c r="B30" s="132"/>
      <c r="C30" s="132" t="s">
        <v>837</v>
      </c>
      <c r="D30" s="118"/>
      <c r="E30" s="118"/>
      <c r="F30" s="118"/>
      <c r="G30" s="118"/>
      <c r="H30" s="118"/>
      <c r="I30" s="118"/>
      <c r="J30" s="118"/>
    </row>
    <row r="31" spans="1:10">
      <c r="A31" s="129" t="s">
        <v>838</v>
      </c>
      <c r="B31" s="130"/>
      <c r="C31" s="130" t="s">
        <v>839</v>
      </c>
      <c r="D31" s="118"/>
      <c r="E31" s="118"/>
      <c r="F31" s="118"/>
      <c r="G31" s="118"/>
      <c r="H31" s="118"/>
      <c r="I31" s="118"/>
      <c r="J31" s="118"/>
    </row>
    <row r="32" spans="1:10">
      <c r="A32" s="131" t="s">
        <v>840</v>
      </c>
      <c r="B32" s="132"/>
      <c r="C32" s="132" t="s">
        <v>841</v>
      </c>
      <c r="D32" s="118"/>
      <c r="E32" s="118"/>
      <c r="F32" s="118"/>
      <c r="G32" s="118"/>
      <c r="H32" s="118"/>
      <c r="I32" s="118"/>
      <c r="J32" s="118"/>
    </row>
    <row r="33" spans="1:10">
      <c r="A33" s="129" t="s">
        <v>177</v>
      </c>
      <c r="B33" s="130"/>
      <c r="C33" s="130" t="s">
        <v>842</v>
      </c>
      <c r="D33" s="118"/>
      <c r="E33" s="118"/>
      <c r="F33" s="118"/>
      <c r="G33" s="118"/>
      <c r="H33" s="118"/>
      <c r="I33" s="118"/>
      <c r="J33" s="118"/>
    </row>
    <row r="34" spans="1:10">
      <c r="A34" s="131" t="s">
        <v>178</v>
      </c>
      <c r="B34" s="132"/>
      <c r="C34" s="132" t="s">
        <v>843</v>
      </c>
      <c r="D34" s="118"/>
      <c r="E34" s="118"/>
      <c r="F34" s="118"/>
      <c r="G34" s="118"/>
      <c r="H34" s="118"/>
      <c r="I34" s="118"/>
      <c r="J34" s="118"/>
    </row>
    <row r="35" spans="1:10">
      <c r="A35" s="129" t="s">
        <v>844</v>
      </c>
      <c r="B35" s="130"/>
      <c r="C35" s="130" t="s">
        <v>845</v>
      </c>
      <c r="D35" s="118"/>
      <c r="E35" s="118"/>
      <c r="F35" s="118"/>
      <c r="G35" s="118"/>
      <c r="H35" s="118"/>
      <c r="I35" s="118"/>
      <c r="J35" s="118"/>
    </row>
    <row r="36" spans="1:10">
      <c r="A36" s="131" t="s">
        <v>846</v>
      </c>
      <c r="B36" s="132"/>
      <c r="C36" s="132" t="s">
        <v>847</v>
      </c>
      <c r="D36" s="118"/>
      <c r="E36" s="118"/>
      <c r="F36" s="118"/>
      <c r="G36" s="118"/>
      <c r="H36" s="118"/>
      <c r="I36" s="118"/>
      <c r="J36" s="118"/>
    </row>
    <row r="37" spans="1:10">
      <c r="A37" s="129" t="s">
        <v>848</v>
      </c>
      <c r="B37" s="130"/>
      <c r="C37" s="130" t="s">
        <v>849</v>
      </c>
      <c r="D37" s="118"/>
      <c r="E37" s="118"/>
      <c r="F37" s="118"/>
      <c r="G37" s="118"/>
      <c r="H37" s="118"/>
      <c r="I37" s="118"/>
      <c r="J37" s="118"/>
    </row>
    <row r="38" spans="1:10">
      <c r="A38" s="131" t="s">
        <v>850</v>
      </c>
      <c r="B38" s="132"/>
      <c r="C38" s="132" t="s">
        <v>851</v>
      </c>
      <c r="D38" s="118"/>
      <c r="E38" s="118"/>
      <c r="F38" s="118"/>
      <c r="G38" s="118"/>
      <c r="H38" s="118"/>
      <c r="I38" s="118"/>
      <c r="J38" s="118"/>
    </row>
    <row r="39" spans="1:10">
      <c r="A39" s="129" t="s">
        <v>175</v>
      </c>
      <c r="B39" s="130"/>
      <c r="C39" s="130" t="s">
        <v>852</v>
      </c>
      <c r="D39" s="118"/>
      <c r="E39" s="118"/>
      <c r="F39" s="118"/>
      <c r="G39" s="118"/>
      <c r="H39" s="118"/>
      <c r="I39" s="118"/>
      <c r="J39" s="118"/>
    </row>
    <row r="40" spans="1:10">
      <c r="A40" s="131" t="s">
        <v>176</v>
      </c>
      <c r="B40" s="132"/>
      <c r="C40" s="132" t="s">
        <v>853</v>
      </c>
      <c r="D40" s="118"/>
      <c r="E40" s="118"/>
      <c r="F40" s="118"/>
      <c r="G40" s="118"/>
      <c r="H40" s="118"/>
      <c r="I40" s="118"/>
      <c r="J40" s="118"/>
    </row>
    <row r="41" spans="1:10">
      <c r="A41" s="129" t="s">
        <v>854</v>
      </c>
      <c r="B41" s="130"/>
      <c r="C41" s="130" t="s">
        <v>855</v>
      </c>
      <c r="D41" s="118"/>
      <c r="E41" s="118"/>
      <c r="F41" s="118"/>
      <c r="G41" s="118"/>
      <c r="H41" s="118"/>
      <c r="I41" s="118"/>
      <c r="J41" s="118"/>
    </row>
    <row r="42" spans="1:10">
      <c r="A42" s="131" t="s">
        <v>856</v>
      </c>
      <c r="B42" s="132"/>
      <c r="C42" s="132" t="s">
        <v>857</v>
      </c>
      <c r="D42" s="118"/>
      <c r="E42" s="118"/>
      <c r="F42" s="118"/>
      <c r="G42" s="118"/>
      <c r="H42" s="118"/>
      <c r="I42" s="118"/>
      <c r="J42" s="118"/>
    </row>
    <row r="43" spans="1:10">
      <c r="A43" s="129" t="s">
        <v>858</v>
      </c>
      <c r="B43" s="130"/>
      <c r="C43" s="130" t="s">
        <v>859</v>
      </c>
      <c r="D43" s="118"/>
      <c r="E43" s="118"/>
      <c r="F43" s="118"/>
      <c r="G43" s="118"/>
      <c r="H43" s="118"/>
      <c r="I43" s="118"/>
      <c r="J43" s="118"/>
    </row>
    <row r="44" spans="1:10">
      <c r="A44" s="131" t="s">
        <v>860</v>
      </c>
      <c r="B44" s="132"/>
      <c r="C44" s="132" t="s">
        <v>861</v>
      </c>
      <c r="D44" s="118"/>
      <c r="E44" s="118"/>
      <c r="F44" s="118"/>
      <c r="G44" s="118"/>
      <c r="H44" s="118"/>
      <c r="I44" s="118"/>
      <c r="J44" s="118"/>
    </row>
    <row r="45" spans="1:10">
      <c r="A45" s="129" t="s">
        <v>862</v>
      </c>
      <c r="B45" s="130"/>
      <c r="C45" s="130" t="s">
        <v>863</v>
      </c>
      <c r="D45" s="118"/>
      <c r="E45" s="118"/>
      <c r="F45" s="118"/>
      <c r="G45" s="118"/>
      <c r="H45" s="118"/>
      <c r="I45" s="118"/>
      <c r="J45" s="118"/>
    </row>
    <row r="46" spans="1:10">
      <c r="A46" s="131" t="s">
        <v>864</v>
      </c>
      <c r="B46" s="132"/>
      <c r="C46" s="132" t="s">
        <v>865</v>
      </c>
      <c r="D46" s="118"/>
      <c r="E46" s="118"/>
      <c r="F46" s="118"/>
      <c r="G46" s="118"/>
      <c r="H46" s="118"/>
      <c r="I46" s="118"/>
      <c r="J46" s="118"/>
    </row>
    <row r="47" spans="1:10">
      <c r="A47" s="129" t="s">
        <v>866</v>
      </c>
      <c r="B47" s="130"/>
      <c r="C47" s="130" t="s">
        <v>867</v>
      </c>
      <c r="D47" s="118"/>
      <c r="E47" s="118"/>
      <c r="F47" s="118"/>
      <c r="G47" s="118"/>
      <c r="H47" s="118"/>
      <c r="I47" s="118"/>
      <c r="J47" s="118"/>
    </row>
    <row r="48" spans="1:10">
      <c r="A48" s="131" t="s">
        <v>868</v>
      </c>
      <c r="B48" s="132"/>
      <c r="C48" s="132" t="s">
        <v>869</v>
      </c>
      <c r="D48" s="118"/>
      <c r="E48" s="118"/>
      <c r="F48" s="118"/>
      <c r="G48" s="118"/>
      <c r="H48" s="118"/>
      <c r="I48" s="118"/>
      <c r="J48" s="118"/>
    </row>
    <row r="49" spans="1:10">
      <c r="A49" s="129" t="s">
        <v>870</v>
      </c>
      <c r="B49" s="130"/>
      <c r="C49" s="130" t="s">
        <v>871</v>
      </c>
      <c r="D49" s="118"/>
      <c r="E49" s="118"/>
      <c r="F49" s="118"/>
      <c r="G49" s="118"/>
      <c r="H49" s="118"/>
      <c r="I49" s="118"/>
      <c r="J49" s="118"/>
    </row>
    <row r="50" spans="1:10">
      <c r="A50" s="131" t="s">
        <v>872</v>
      </c>
      <c r="B50" s="132"/>
      <c r="C50" s="132" t="s">
        <v>873</v>
      </c>
      <c r="D50" s="118"/>
      <c r="E50" s="118"/>
      <c r="F50" s="118"/>
      <c r="G50" s="118"/>
      <c r="H50" s="118"/>
      <c r="I50" s="118"/>
      <c r="J50" s="118"/>
    </row>
    <row r="51" spans="1:10">
      <c r="A51" s="129" t="s">
        <v>874</v>
      </c>
      <c r="B51" s="130"/>
      <c r="C51" s="130" t="s">
        <v>875</v>
      </c>
      <c r="D51" s="118"/>
      <c r="E51" s="118"/>
      <c r="F51" s="118"/>
      <c r="G51" s="118"/>
      <c r="H51" s="118"/>
      <c r="I51" s="118"/>
      <c r="J51" s="118"/>
    </row>
    <row r="52" spans="1:10">
      <c r="A52" s="131" t="s">
        <v>876</v>
      </c>
      <c r="B52" s="132"/>
      <c r="C52" s="132" t="s">
        <v>877</v>
      </c>
      <c r="D52" s="118"/>
      <c r="E52" s="118"/>
      <c r="F52" s="118"/>
      <c r="G52" s="118"/>
      <c r="H52" s="118"/>
      <c r="I52" s="118"/>
      <c r="J52" s="118"/>
    </row>
    <row r="53" spans="1:10">
      <c r="A53" s="129" t="s">
        <v>878</v>
      </c>
      <c r="B53" s="130"/>
      <c r="C53" s="130" t="s">
        <v>879</v>
      </c>
      <c r="D53" s="118"/>
      <c r="E53" s="118"/>
      <c r="F53" s="118"/>
      <c r="G53" s="118"/>
      <c r="H53" s="118"/>
      <c r="I53" s="118"/>
      <c r="J53" s="118"/>
    </row>
    <row r="54" spans="1:10">
      <c r="A54" s="131" t="s">
        <v>880</v>
      </c>
      <c r="B54" s="132"/>
      <c r="C54" s="132" t="s">
        <v>881</v>
      </c>
      <c r="D54" s="118"/>
      <c r="E54" s="118"/>
      <c r="F54" s="118"/>
      <c r="G54" s="118"/>
      <c r="H54" s="118"/>
      <c r="I54" s="118"/>
      <c r="J54" s="118"/>
    </row>
    <row r="55" spans="1:10">
      <c r="A55" s="129" t="s">
        <v>882</v>
      </c>
      <c r="B55" s="130"/>
      <c r="C55" s="130" t="s">
        <v>883</v>
      </c>
      <c r="D55" s="118"/>
      <c r="E55" s="118"/>
      <c r="F55" s="118"/>
      <c r="G55" s="118"/>
      <c r="H55" s="118"/>
      <c r="I55" s="118"/>
      <c r="J55" s="118"/>
    </row>
    <row r="56" spans="1:10">
      <c r="A56" s="131" t="s">
        <v>884</v>
      </c>
      <c r="B56" s="132"/>
      <c r="C56" s="132" t="s">
        <v>885</v>
      </c>
      <c r="D56" s="118"/>
      <c r="E56" s="118"/>
      <c r="F56" s="118"/>
      <c r="G56" s="118"/>
      <c r="H56" s="118"/>
      <c r="I56" s="118"/>
      <c r="J56" s="118"/>
    </row>
    <row r="57" spans="1:10">
      <c r="A57" s="129" t="s">
        <v>886</v>
      </c>
      <c r="B57" s="130"/>
      <c r="C57" s="130" t="s">
        <v>887</v>
      </c>
      <c r="D57" s="118"/>
      <c r="E57" s="118"/>
      <c r="F57" s="118"/>
      <c r="G57" s="118"/>
      <c r="H57" s="118"/>
      <c r="I57" s="118"/>
      <c r="J57" s="118"/>
    </row>
    <row r="58" spans="1:10">
      <c r="A58" s="131" t="s">
        <v>888</v>
      </c>
      <c r="B58" s="132"/>
      <c r="C58" s="132" t="s">
        <v>889</v>
      </c>
      <c r="D58" s="118"/>
      <c r="E58" s="118"/>
      <c r="F58" s="118"/>
      <c r="G58" s="118"/>
      <c r="H58" s="118"/>
      <c r="I58" s="118"/>
      <c r="J58" s="118"/>
    </row>
    <row r="59" spans="1:10">
      <c r="A59" s="129" t="s">
        <v>890</v>
      </c>
      <c r="B59" s="130"/>
      <c r="C59" s="130" t="s">
        <v>891</v>
      </c>
      <c r="D59" s="118"/>
      <c r="E59" s="118"/>
      <c r="F59" s="118"/>
      <c r="G59" s="118"/>
      <c r="H59" s="118"/>
      <c r="I59" s="118"/>
      <c r="J59" s="118"/>
    </row>
    <row r="60" spans="1:10">
      <c r="A60" s="131" t="s">
        <v>892</v>
      </c>
      <c r="B60" s="132"/>
      <c r="C60" s="132" t="s">
        <v>893</v>
      </c>
      <c r="D60" s="118"/>
      <c r="E60" s="118"/>
      <c r="F60" s="118"/>
      <c r="G60" s="118"/>
      <c r="H60" s="118"/>
      <c r="I60" s="118"/>
      <c r="J60" s="118"/>
    </row>
    <row r="61" spans="1:10">
      <c r="A61" s="129" t="s">
        <v>894</v>
      </c>
      <c r="B61" s="130"/>
      <c r="C61" s="130" t="s">
        <v>895</v>
      </c>
      <c r="D61" s="118"/>
      <c r="E61" s="118"/>
      <c r="F61" s="118"/>
      <c r="G61" s="118"/>
      <c r="H61" s="118"/>
      <c r="I61" s="118"/>
      <c r="J61" s="118"/>
    </row>
    <row r="62" spans="1:10">
      <c r="A62" s="131" t="s">
        <v>896</v>
      </c>
      <c r="B62" s="132"/>
      <c r="C62" s="132" t="s">
        <v>897</v>
      </c>
      <c r="D62" s="118"/>
      <c r="E62" s="118"/>
      <c r="F62" s="118"/>
      <c r="G62" s="118"/>
      <c r="H62" s="118"/>
      <c r="I62" s="118"/>
      <c r="J62" s="118"/>
    </row>
    <row r="63" spans="1:10">
      <c r="A63" s="129" t="s">
        <v>898</v>
      </c>
      <c r="B63" s="130"/>
      <c r="C63" s="130" t="s">
        <v>899</v>
      </c>
      <c r="D63" s="118"/>
      <c r="E63" s="118"/>
      <c r="F63" s="118"/>
      <c r="G63" s="118"/>
      <c r="H63" s="118"/>
      <c r="I63" s="118"/>
      <c r="J63" s="118"/>
    </row>
    <row r="64" spans="1:10">
      <c r="A64" s="131" t="s">
        <v>900</v>
      </c>
      <c r="B64" s="132"/>
      <c r="C64" s="132" t="s">
        <v>901</v>
      </c>
      <c r="D64" s="118"/>
      <c r="E64" s="118"/>
      <c r="F64" s="118"/>
      <c r="G64" s="118"/>
      <c r="H64" s="118"/>
      <c r="I64" s="118"/>
      <c r="J64" s="118"/>
    </row>
    <row r="65" spans="1:10">
      <c r="A65" s="129" t="s">
        <v>902</v>
      </c>
      <c r="B65" s="130"/>
      <c r="C65" s="130" t="s">
        <v>903</v>
      </c>
      <c r="D65" s="118"/>
      <c r="E65" s="118"/>
      <c r="F65" s="118"/>
      <c r="G65" s="118"/>
      <c r="H65" s="118"/>
      <c r="I65" s="118"/>
      <c r="J65" s="118"/>
    </row>
    <row r="66" spans="1:10">
      <c r="A66" s="131" t="s">
        <v>904</v>
      </c>
      <c r="B66" s="132"/>
      <c r="C66" s="132" t="s">
        <v>905</v>
      </c>
      <c r="D66" s="118"/>
      <c r="E66" s="118"/>
      <c r="F66" s="118"/>
      <c r="G66" s="118"/>
      <c r="H66" s="118"/>
      <c r="I66" s="118"/>
      <c r="J66" s="118"/>
    </row>
    <row r="67" spans="1:10">
      <c r="A67" s="129" t="s">
        <v>906</v>
      </c>
      <c r="B67" s="130"/>
      <c r="C67" s="130" t="s">
        <v>907</v>
      </c>
      <c r="D67" s="118"/>
      <c r="E67" s="118"/>
      <c r="F67" s="118"/>
      <c r="G67" s="118"/>
      <c r="H67" s="118"/>
      <c r="I67" s="118"/>
      <c r="J67" s="118"/>
    </row>
    <row r="68" spans="1:10">
      <c r="A68" s="133" t="s">
        <v>908</v>
      </c>
      <c r="B68" s="134"/>
      <c r="C68" s="134" t="s">
        <v>909</v>
      </c>
      <c r="D68" s="118"/>
      <c r="E68" s="118"/>
      <c r="F68" s="118"/>
      <c r="G68" s="118"/>
      <c r="H68" s="118"/>
      <c r="I68" s="118"/>
      <c r="J68" s="118"/>
    </row>
    <row r="69" spans="1:10">
      <c r="A69" s="129" t="s">
        <v>910</v>
      </c>
      <c r="B69" s="130"/>
      <c r="C69" s="130" t="s">
        <v>911</v>
      </c>
      <c r="D69" s="118"/>
      <c r="E69" s="118"/>
      <c r="F69" s="118"/>
      <c r="G69" s="118"/>
      <c r="H69" s="118"/>
      <c r="I69" s="118"/>
      <c r="J69" s="118"/>
    </row>
    <row r="70" spans="1:10">
      <c r="A70" s="131" t="s">
        <v>912</v>
      </c>
      <c r="B70" s="132"/>
      <c r="C70" s="132" t="s">
        <v>913</v>
      </c>
      <c r="D70" s="118"/>
      <c r="E70" s="118"/>
      <c r="F70" s="118"/>
      <c r="G70" s="118"/>
      <c r="H70" s="118"/>
      <c r="I70" s="118"/>
      <c r="J70" s="11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F9AC8-D674-4CAC-84CA-21F794C2293B}">
  <dimension ref="A1:F14"/>
  <sheetViews>
    <sheetView tabSelected="1" zoomScaleNormal="100" workbookViewId="0">
      <selection activeCell="B2" sqref="B2"/>
    </sheetView>
  </sheetViews>
  <sheetFormatPr defaultRowHeight="15"/>
  <cols>
    <col min="1" max="1" width="57.5703125" customWidth="1"/>
    <col min="2" max="2" width="12.28515625" bestFit="1" customWidth="1"/>
    <col min="3" max="3" width="45.140625" customWidth="1"/>
    <col min="4" max="4" width="17.85546875" customWidth="1"/>
    <col min="6" max="6" width="17.140625" customWidth="1"/>
  </cols>
  <sheetData>
    <row r="1" spans="1:6">
      <c r="A1" s="135" t="s">
        <v>814</v>
      </c>
      <c r="B1" s="136" t="s">
        <v>932</v>
      </c>
      <c r="C1" s="136" t="s">
        <v>183</v>
      </c>
      <c r="D1" s="136" t="s">
        <v>697</v>
      </c>
      <c r="E1" s="136" t="s">
        <v>810</v>
      </c>
      <c r="F1" s="137" t="s">
        <v>815</v>
      </c>
    </row>
    <row r="2" spans="1:6" ht="45">
      <c r="A2" s="65" t="s">
        <v>550</v>
      </c>
      <c r="B2">
        <v>3015616247</v>
      </c>
      <c r="C2" s="1" t="str">
        <f>VLOOKUP(A2,'Customer BoQ'!A:B,2,0)</f>
        <v xml:space="preserve">3rd party CSG-Remote migration includes Migration execution ,testing and acceptance services </v>
      </c>
      <c r="D2" s="94">
        <f>VLOOKUP(A2,'Customer BoQ'!A:C,3,0)</f>
        <v>500</v>
      </c>
      <c r="E2" s="138">
        <v>112</v>
      </c>
      <c r="F2" s="139">
        <f>D2*E2</f>
        <v>56000</v>
      </c>
    </row>
    <row r="3" spans="1:6">
      <c r="A3" s="140" t="s">
        <v>813</v>
      </c>
      <c r="B3" s="140" t="s">
        <v>914</v>
      </c>
      <c r="C3" s="140" t="s">
        <v>914</v>
      </c>
      <c r="D3" s="140" t="s">
        <v>914</v>
      </c>
      <c r="E3" s="140" t="s">
        <v>914</v>
      </c>
      <c r="F3" s="141">
        <f>F2</f>
        <v>56000</v>
      </c>
    </row>
    <row r="4" spans="1:6">
      <c r="A4" s="118"/>
      <c r="B4" s="118"/>
      <c r="C4" s="118"/>
      <c r="D4" s="118"/>
      <c r="E4" s="118"/>
      <c r="F4" s="118"/>
    </row>
    <row r="5" spans="1:6">
      <c r="A5" s="118"/>
      <c r="B5" s="118"/>
      <c r="C5" s="118"/>
      <c r="D5" s="118"/>
      <c r="E5" s="118"/>
      <c r="F5" s="118"/>
    </row>
    <row r="6" spans="1:6">
      <c r="A6" s="118" t="s">
        <v>929</v>
      </c>
      <c r="B6" s="118"/>
      <c r="C6" s="118"/>
      <c r="D6" s="118"/>
      <c r="E6" s="118"/>
      <c r="F6" s="118"/>
    </row>
    <row r="7" spans="1:6">
      <c r="A7" s="118" t="s">
        <v>928</v>
      </c>
      <c r="B7" s="118"/>
      <c r="C7" s="118"/>
      <c r="D7" s="118"/>
      <c r="E7" s="118"/>
      <c r="F7" s="147"/>
    </row>
    <row r="8" spans="1:6">
      <c r="A8" s="118" t="s">
        <v>930</v>
      </c>
      <c r="B8" s="118"/>
      <c r="C8" s="118"/>
      <c r="D8" s="118"/>
      <c r="E8" s="118"/>
      <c r="F8" s="118"/>
    </row>
    <row r="9" spans="1:6">
      <c r="A9" s="118" t="s">
        <v>931</v>
      </c>
      <c r="B9" s="118"/>
      <c r="C9" s="118"/>
      <c r="D9" s="118"/>
      <c r="E9" s="118"/>
      <c r="F9" s="118"/>
    </row>
    <row r="10" spans="1:6">
      <c r="A10" s="118"/>
      <c r="B10" s="118"/>
      <c r="C10" s="118"/>
      <c r="D10" s="118"/>
      <c r="E10" s="118"/>
      <c r="F10" s="118"/>
    </row>
    <row r="11" spans="1:6" ht="15.75">
      <c r="A11" s="142" t="s">
        <v>915</v>
      </c>
      <c r="B11" s="143" t="s">
        <v>916</v>
      </c>
      <c r="C11" s="118"/>
      <c r="D11" s="118"/>
      <c r="E11" s="118"/>
      <c r="F11" s="118"/>
    </row>
    <row r="12" spans="1:6">
      <c r="A12" s="144" t="s">
        <v>917</v>
      </c>
      <c r="B12" s="145">
        <v>102</v>
      </c>
      <c r="C12" s="118"/>
      <c r="D12" s="118"/>
      <c r="E12" s="118"/>
      <c r="F12" s="118"/>
    </row>
    <row r="13" spans="1:6">
      <c r="A13" s="144" t="s">
        <v>918</v>
      </c>
      <c r="B13" s="145">
        <v>10</v>
      </c>
      <c r="C13" s="118"/>
      <c r="D13" s="118"/>
      <c r="E13" s="118"/>
      <c r="F13" s="118"/>
    </row>
    <row r="14" spans="1:6">
      <c r="A14" s="146" t="s">
        <v>919</v>
      </c>
      <c r="B14" s="145">
        <v>112</v>
      </c>
      <c r="C14" s="118"/>
      <c r="D14" s="118"/>
      <c r="E14" s="118"/>
      <c r="F14" s="11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694BC-7C41-41AE-B8D3-7F95132AAAED}">
  <dimension ref="A1:F8"/>
  <sheetViews>
    <sheetView zoomScale="115" zoomScaleNormal="70" workbookViewId="0">
      <selection activeCell="B10" sqref="B10"/>
    </sheetView>
  </sheetViews>
  <sheetFormatPr defaultRowHeight="15"/>
  <cols>
    <col min="1" max="1" width="46.140625" customWidth="1"/>
    <col min="2" max="2" width="16.5703125" customWidth="1"/>
    <col min="3" max="3" width="34.42578125" customWidth="1"/>
    <col min="4" max="4" width="12.140625" bestFit="1" customWidth="1"/>
    <col min="5" max="5" width="13.140625" bestFit="1" customWidth="1"/>
    <col min="6" max="6" width="35.140625" customWidth="1"/>
  </cols>
  <sheetData>
    <row r="1" spans="1:6">
      <c r="A1" s="96" t="s">
        <v>814</v>
      </c>
      <c r="B1" s="96"/>
      <c r="C1" s="96" t="s">
        <v>183</v>
      </c>
      <c r="D1" s="96" t="s">
        <v>697</v>
      </c>
      <c r="E1" s="96" t="s">
        <v>810</v>
      </c>
      <c r="F1" s="96" t="s">
        <v>815</v>
      </c>
    </row>
    <row r="2" spans="1:6">
      <c r="A2" s="2" t="s">
        <v>920</v>
      </c>
      <c r="B2" s="2"/>
      <c r="C2" s="2" t="s">
        <v>921</v>
      </c>
      <c r="D2" s="112">
        <v>90000</v>
      </c>
      <c r="E2" s="2">
        <v>1</v>
      </c>
      <c r="F2" s="112">
        <f>D2*E2</f>
        <v>90000</v>
      </c>
    </row>
    <row r="3" spans="1:6">
      <c r="A3" s="115"/>
      <c r="B3" s="115"/>
      <c r="C3" s="115"/>
      <c r="D3" s="115"/>
      <c r="E3" s="115"/>
      <c r="F3" s="116">
        <f>SUM(F2:F2)</f>
        <v>90000</v>
      </c>
    </row>
    <row r="4" spans="1:6">
      <c r="B4" s="11"/>
      <c r="C4" s="97"/>
    </row>
    <row r="5" spans="1:6">
      <c r="B5" s="11"/>
      <c r="C5" s="97"/>
    </row>
    <row r="6" spans="1:6">
      <c r="A6" t="s">
        <v>922</v>
      </c>
    </row>
    <row r="7" spans="1:6">
      <c r="A7" t="s">
        <v>923</v>
      </c>
    </row>
    <row r="8" spans="1:6">
      <c r="A8" t="s">
        <v>924</v>
      </c>
    </row>
  </sheetData>
  <conditionalFormatting sqref="A4:A5">
    <cfRule type="duplicateValues" dxfId="0" priority="75"/>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34c87397-5fc1-491e-85e7-d6110dbe9cbd"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file>

<file path=customXml/item4.xml><?xml version="1.0" encoding="utf-8"?>
<ct:contentTypeSchema xmlns:ct="http://schemas.microsoft.com/office/2006/metadata/contentType" xmlns:ma="http://schemas.microsoft.com/office/2006/metadata/properties/metaAttributes" ct:_="" ma:_="" ma:contentTypeName="Document" ma:contentTypeID="0x010100193F43A02CC89541BC80F81F522A85C8" ma:contentTypeVersion="8" ma:contentTypeDescription="Create a new document." ma:contentTypeScope="" ma:versionID="3c47b25bce33a055f01c9d888728a546">
  <xsd:schema xmlns:xsd="http://www.w3.org/2001/XMLSchema" xmlns:xs="http://www.w3.org/2001/XMLSchema" xmlns:p="http://schemas.microsoft.com/office/2006/metadata/properties" xmlns:ns2="71c5aaf6-e6ce-465b-b873-5148d2a4c105" xmlns:ns3="491230d6-4b04-4feb-9126-ee2a2a10838f" xmlns:ns4="9fb32bb9-0aa1-49ee-88fa-0ca7876b5331" targetNamespace="http://schemas.microsoft.com/office/2006/metadata/properties" ma:root="true" ma:fieldsID="e85ce91fc037977773c9fe1b28a6ff4d" ns2:_="" ns3:_="" ns4:_="">
    <xsd:import namespace="71c5aaf6-e6ce-465b-b873-5148d2a4c105"/>
    <xsd:import namespace="491230d6-4b04-4feb-9126-ee2a2a10838f"/>
    <xsd:import namespace="9fb32bb9-0aa1-49ee-88fa-0ca7876b5331"/>
    <xsd:element name="properties">
      <xsd:complexType>
        <xsd:sequence>
          <xsd:element name="documentManagement">
            <xsd:complexType>
              <xsd:all>
                <xsd:element ref="ns2:_dlc_DocId" minOccurs="0"/>
                <xsd:element ref="ns2:_dlc_DocIdUrl" minOccurs="0"/>
                <xsd:element ref="ns2:_dlc_DocIdPersistId" minOccurs="0"/>
                <xsd:element ref="ns2:HideFromDelve" minOccurs="0"/>
                <xsd:element ref="ns3:MediaServiceMetadata" minOccurs="0"/>
                <xsd:element ref="ns3:MediaServiceFastMetadata" minOccurs="0"/>
                <xsd:element ref="ns3:MediaServiceObjectDetectorVersions" minOccurs="0"/>
                <xsd:element ref="ns4:SharedWithUsers" minOccurs="0"/>
                <xsd:element ref="ns4: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c5aaf6-e6ce-465b-b873-5148d2a4c10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HideFromDelve" ma:index="11" nillable="true" ma:displayName="HideFromDelve" ma:default="0" ma:internalName="HideFromDelv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491230d6-4b04-4feb-9126-ee2a2a10838f"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fb32bb9-0aa1-49ee-88fa-0ca7876b5331"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HideFromDelve xmlns="71c5aaf6-e6ce-465b-b873-5148d2a4c105">false</HideFromDelve>
    <SharedWithUsers xmlns="9fb32bb9-0aa1-49ee-88fa-0ca7876b5331">
      <UserInfo>
        <DisplayName>Zeynep Saylan (Nokia)</DisplayName>
        <AccountId>13</AccountId>
        <AccountType/>
      </UserInfo>
    </SharedWithUsers>
  </documentManagement>
</p:properties>
</file>

<file path=customXml/itemProps1.xml><?xml version="1.0" encoding="utf-8"?>
<ds:datastoreItem xmlns:ds="http://schemas.openxmlformats.org/officeDocument/2006/customXml" ds:itemID="{5FE5E21C-C3C7-4B2D-BA47-626EB3B1D7A0}">
  <ds:schemaRefs>
    <ds:schemaRef ds:uri="Microsoft.SharePoint.Taxonomy.ContentTypeSync"/>
  </ds:schemaRefs>
</ds:datastoreItem>
</file>

<file path=customXml/itemProps2.xml><?xml version="1.0" encoding="utf-8"?>
<ds:datastoreItem xmlns:ds="http://schemas.openxmlformats.org/officeDocument/2006/customXml" ds:itemID="{2A9CC809-302D-4D2D-A23F-F83679557CD5}">
  <ds:schemaRefs>
    <ds:schemaRef ds:uri="http://schemas.microsoft.com/sharepoint/v3/contenttype/forms"/>
  </ds:schemaRefs>
</ds:datastoreItem>
</file>

<file path=customXml/itemProps3.xml><?xml version="1.0" encoding="utf-8"?>
<ds:datastoreItem xmlns:ds="http://schemas.openxmlformats.org/officeDocument/2006/customXml" ds:itemID="{58F98C3F-11FF-47F0-B66A-6AE9E58311B6}">
  <ds:schemaRefs>
    <ds:schemaRef ds:uri="http://schemas.microsoft.com/sharepoint/events"/>
  </ds:schemaRefs>
</ds:datastoreItem>
</file>

<file path=customXml/itemProps4.xml><?xml version="1.0" encoding="utf-8"?>
<ds:datastoreItem xmlns:ds="http://schemas.openxmlformats.org/officeDocument/2006/customXml" ds:itemID="{D38179C9-D0D6-4FFC-B34A-E600F60C51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c5aaf6-e6ce-465b-b873-5148d2a4c105"/>
    <ds:schemaRef ds:uri="491230d6-4b04-4feb-9126-ee2a2a10838f"/>
    <ds:schemaRef ds:uri="9fb32bb9-0aa1-49ee-88fa-0ca7876b53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ABC9853E-D3AD-40F8-BA4F-6C65D0D40DCB}">
  <ds:schemaRefs>
    <ds:schemaRef ds:uri="http://purl.org/dc/dcmitype/"/>
    <ds:schemaRef ds:uri="http://purl.org/dc/elements/1.1/"/>
    <ds:schemaRef ds:uri="http://schemas.microsoft.com/office/2006/documentManagement/types"/>
    <ds:schemaRef ds:uri="http://purl.org/dc/terms/"/>
    <ds:schemaRef ds:uri="9fb32bb9-0aa1-49ee-88fa-0ca7876b5331"/>
    <ds:schemaRef ds:uri="http://schemas.microsoft.com/office/infopath/2007/PartnerControls"/>
    <ds:schemaRef ds:uri="71c5aaf6-e6ce-465b-b873-5148d2a4c105"/>
    <ds:schemaRef ds:uri="http://schemas.openxmlformats.org/package/2006/metadata/core-properties"/>
    <ds:schemaRef ds:uri="491230d6-4b04-4feb-9126-ee2a2a10838f"/>
    <ds:schemaRef ds:uri="http://schemas.microsoft.com/office/2006/metadata/properties"/>
    <ds:schemaRef ds:uri="http://www.w3.org/XML/1998/namespace"/>
  </ds:schemaRefs>
</ds:datastoreItem>
</file>

<file path=docMetadata/LabelInfo.xml><?xml version="1.0" encoding="utf-8"?>
<clbl:labelList xmlns:clbl="http://schemas.microsoft.com/office/2020/mipLabelMetadata">
  <clbl:label id="{4327cfd9-47ed-48f1-9376-4ab3148935bb}" enabled="1" method="Privileged" siteId="{5d471751-9675-428d-917b-70f44f9630b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Port Count</vt:lpstr>
      <vt:lpstr>Commercial BoQ Prices</vt:lpstr>
      <vt:lpstr>Customer BoQ</vt:lpstr>
      <vt:lpstr>BPO</vt:lpstr>
      <vt:lpstr>SUMMARY</vt:lpstr>
      <vt:lpstr>Synch Source</vt:lpstr>
      <vt:lpstr>Fixed Switch Migration</vt:lpstr>
      <vt:lpstr>vRR Server Replacement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Abdel Kader, Karim (Nokia - EG/Cairo)</dc:creator>
  <cp:keywords/>
  <dc:description/>
  <cp:lastModifiedBy>waleed shtawi</cp:lastModifiedBy>
  <cp:revision/>
  <dcterms:created xsi:type="dcterms:W3CDTF">2020-04-02T02:01:34Z</dcterms:created>
  <dcterms:modified xsi:type="dcterms:W3CDTF">2024-02-24T18:34:41Z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0x010100193F43A02CC89541BC80F81F522A85C8</vt:lpwstr>
  </property>
  <property fmtid="{D5CDD505-2E9C-101B-9397-08002B2CF9AE}" pid="3" name="MSIP_Label_4327cfd9-47ed-48f1-9376-4ab3148935bb_Enabled">
    <vt:lpwstr>true</vt:lpwstr>
  </property>
  <property fmtid="{D5CDD505-2E9C-101B-9397-08002B2CF9AE}" pid="4" name="MSIP_Label_4327cfd9-47ed-48f1-9376-4ab3148935bb_SetDate">
    <vt:lpwstr>2021-09-07T06:50:10Z</vt:lpwstr>
  </property>
  <property fmtid="{D5CDD505-2E9C-101B-9397-08002B2CF9AE}" pid="5" name="MSIP_Label_4327cfd9-47ed-48f1-9376-4ab3148935bb_Method">
    <vt:lpwstr>Privileged</vt:lpwstr>
  </property>
  <property fmtid="{D5CDD505-2E9C-101B-9397-08002B2CF9AE}" pid="6" name="MSIP_Label_4327cfd9-47ed-48f1-9376-4ab3148935bb_Name">
    <vt:lpwstr>4327cfd9-47ed-48f1-9376-4ab3148935bb</vt:lpwstr>
  </property>
  <property fmtid="{D5CDD505-2E9C-101B-9397-08002B2CF9AE}" pid="7" name="MSIP_Label_4327cfd9-47ed-48f1-9376-4ab3148935bb_SiteId">
    <vt:lpwstr>5d471751-9675-428d-917b-70f44f9630b0</vt:lpwstr>
  </property>
  <property fmtid="{D5CDD505-2E9C-101B-9397-08002B2CF9AE}" pid="8" name="MSIP_Label_4327cfd9-47ed-48f1-9376-4ab3148935bb_ActionId">
    <vt:lpwstr>9c9aebc6-f425-4c5d-b615-51ece2acd4c9</vt:lpwstr>
  </property>
  <property fmtid="{D5CDD505-2E9C-101B-9397-08002B2CF9AE}" pid="9" name="MSIP_Label_4327cfd9-47ed-48f1-9376-4ab3148935bb_ContentBits">
    <vt:lpwstr>0</vt:lpwstr>
  </property>
</Properties>
</file>