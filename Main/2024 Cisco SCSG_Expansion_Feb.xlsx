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d.docs.live.net/f1cc20ad72d363e4/Desktop/GIS Jan 2024/"/>
    </mc:Choice>
  </mc:AlternateContent>
  <xr:revisionPtr revIDLastSave="1" documentId="13_ncr:1_{1FF4C419-E4E6-F14C-906C-DCEC521A85BA}" xr6:coauthVersionLast="47" xr6:coauthVersionMax="47" xr10:uidLastSave="{36C47E73-2F80-4006-8301-CE3AAFA18A47}"/>
  <bookViews>
    <workbookView xWindow="-120" yWindow="-120" windowWidth="29040" windowHeight="15720" xr2:uid="{00000000-000D-0000-FFFF-FFFF00000000}"/>
  </bookViews>
  <sheets>
    <sheet name="Price Estimat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8" i="1" l="1"/>
  <c r="F28" i="1"/>
  <c r="L27" i="1"/>
  <c r="I27" i="1"/>
  <c r="L26" i="1"/>
  <c r="I26" i="1"/>
  <c r="L25" i="1"/>
  <c r="I25" i="1"/>
  <c r="L24" i="1"/>
  <c r="I24" i="1"/>
  <c r="I28" i="1" l="1"/>
  <c r="L28" i="1"/>
</calcChain>
</file>

<file path=xl/sharedStrings.xml><?xml version="1.0" encoding="utf-8"?>
<sst xmlns="http://schemas.openxmlformats.org/spreadsheetml/2006/main" count="119" uniqueCount="102">
  <si>
    <t>Price Estimate</t>
  </si>
  <si>
    <t>George Soliman</t>
  </si>
  <si>
    <t>Cisco Systems, Inc.</t>
  </si>
  <si>
    <t>A004-024, Al Safouh 2,Knowledge Village</t>
  </si>
  <si>
    <t>DUBAI, DU-0</t>
  </si>
  <si>
    <t>UNITED ARAB EMIRATES</t>
  </si>
  <si>
    <t>Ph no:+971 4 448 5719</t>
  </si>
  <si>
    <t/>
  </si>
  <si>
    <t>Price Estimate for planning and information purposes only and is not a binding offer from Cisco.</t>
  </si>
  <si>
    <r>
      <rPr>
        <b/>
        <sz val="9"/>
        <color indexed="8"/>
        <rFont val="Calibri"/>
        <family val="2"/>
      </rPr>
      <t>Date:</t>
    </r>
    <r>
      <rPr>
        <sz val="9"/>
        <color indexed="8"/>
        <rFont val="Calibri"/>
        <family val="2"/>
      </rPr>
      <t xml:space="preserve"> 15-Feb-2024</t>
    </r>
  </si>
  <si>
    <t>Part Number</t>
  </si>
  <si>
    <t>Description</t>
  </si>
  <si>
    <t>Qty</t>
  </si>
  <si>
    <t>NCS-57C3-MODS-SYS</t>
  </si>
  <si>
    <t>NCS 57C3 Scale Chassis, Flexible Consumption Need Smart Lic</t>
  </si>
  <si>
    <t>SD-AR3K-NC57C3MS</t>
  </si>
  <si>
    <t>AR LEVEL 3 NO SW SUP NCS 57C3 Scale Chassis Flex</t>
  </si>
  <si>
    <t>NCS-57C3-MODS-TRK</t>
  </si>
  <si>
    <t>57C3 Scale Hardware Tracking PID</t>
  </si>
  <si>
    <t>NC55-MPA-BLNK</t>
  </si>
  <si>
    <t>NCS 5500 MPA  Blank Filler</t>
  </si>
  <si>
    <t>NC57-C3-FAN1-FW</t>
  </si>
  <si>
    <t>NCS 57C3 Fan Tray (40mm) Chassis Port-S Intake</t>
  </si>
  <si>
    <t>NC57-C3-FAN2-FW</t>
  </si>
  <si>
    <t>NCS 57C3 Fan Tray (60mm) Chassis Port-S Intake</t>
  </si>
  <si>
    <t>NC57-3RU-ACC-KIT</t>
  </si>
  <si>
    <t>NCS 57C3 Accessory Kit for 3RU Chassis</t>
  </si>
  <si>
    <t>NC55-MPA-4H-S-FC</t>
  </si>
  <si>
    <t>NCS 5500 4X100G QSFP28 MPA</t>
  </si>
  <si>
    <t>SD-AR3K-NFC5MPAC</t>
  </si>
  <si>
    <t>AR LEVEL 3 NO SW SUP NCS 5500 4X100G QSFP28 MPA</t>
  </si>
  <si>
    <t>NC57-MOD-RP2-E</t>
  </si>
  <si>
    <t>NCS 5700 Route Processor with SyncE</t>
  </si>
  <si>
    <t>SD-AR3K-NC57MODR</t>
  </si>
  <si>
    <t>AR LEVEL 3 NO SW SUP NCS 5700 Route Proc w SyncE</t>
  </si>
  <si>
    <t>XR-7.6-TRK</t>
  </si>
  <si>
    <t>IOS-XR 7.6 tracking license</t>
  </si>
  <si>
    <t>TRK-7.6-NC55</t>
  </si>
  <si>
    <t>IOS XR 7.6 Software Image</t>
  </si>
  <si>
    <t>NC57-1600W-DCFW</t>
  </si>
  <si>
    <t>NCS 57C3 DC 1560W Power Supply Port-S Intake / Front-to-back</t>
  </si>
  <si>
    <t>CAB-48DC-40A-8AWG</t>
  </si>
  <si>
    <t>C-Series -48VDC PSU Power Cord, 3.5M, 3 Wire, 8AWG, 40A</t>
  </si>
  <si>
    <t>ESS-100G-RTU-1</t>
  </si>
  <si>
    <t>Core &amp; Aggregation Essentials SW Right-to-Use v1.0 100G</t>
  </si>
  <si>
    <t>SD-SWK-ESS100G1</t>
  </si>
  <si>
    <t>SWSS B NO UPG Core Aggregation Essentials SW Right-t</t>
  </si>
  <si>
    <t>ADV-100G-RTU-1</t>
  </si>
  <si>
    <t>Core &amp; Aggregation Advantage w/o Essentials SW RTU v1.0 100G</t>
  </si>
  <si>
    <t>SD-SWK-ADV100G1</t>
  </si>
  <si>
    <t>SWSS B NO UPG Core  Aggregation Advanced SW Right-to-</t>
  </si>
  <si>
    <t>ESS-100G-SIA-3</t>
  </si>
  <si>
    <t>Core &amp; Aggr Essentials SIA per 100G 3 year term</t>
  </si>
  <si>
    <t>ADV-100G-SIA-3</t>
  </si>
  <si>
    <t>Core &amp; Aggr Advantage w/o Essentials SIA 100G 3-5 year term</t>
  </si>
  <si>
    <t>SD-SVS-FC-IOSXR</t>
  </si>
  <si>
    <t>Flexible Consumption IOSXR</t>
  </si>
  <si>
    <t>GLC-LH-SMD=</t>
  </si>
  <si>
    <t>1000BASE-LX/LH SFP transceiver module, MMF/SMF, 1310nm, DOM</t>
  </si>
  <si>
    <t>GLC-EX-SMD=</t>
  </si>
  <si>
    <t>1000BASE-EX SFP transceiver module, SMF, 1310nm, DOM</t>
  </si>
  <si>
    <t>GLC-ZX-SMD=</t>
  </si>
  <si>
    <t>1000BASE-ZX SFP transceiver module, SMF, 1550nm, DOM</t>
  </si>
  <si>
    <t>SFP-10G-LR=</t>
  </si>
  <si>
    <t>10GBASE-LR SFP Module</t>
  </si>
  <si>
    <t>SFP-10G-ER=</t>
  </si>
  <si>
    <t>10GBASE-ER SFP Module</t>
  </si>
  <si>
    <t>SFP-10G-ZR=</t>
  </si>
  <si>
    <t>Cisco 10GBASE-ZR SFP10G Module for SMF</t>
  </si>
  <si>
    <t>QSFP-100G-LR4-S=</t>
  </si>
  <si>
    <t>100GBASE LR4 QSFP Transceiver, LC, 10km over SMF</t>
  </si>
  <si>
    <t>QSFP-100G-ER4L-S=</t>
  </si>
  <si>
    <t>100GBASE QSFP Transceiver, 40KM reach over SMF, Duplex LC</t>
  </si>
  <si>
    <t>SFP-CH-OC3STM1-I=</t>
  </si>
  <si>
    <t>84x DS1 SAToP chnnl in OC3,, or 63x E1 SAToP chnnl STM1</t>
  </si>
  <si>
    <r>
      <rPr>
        <b/>
        <sz val="9"/>
        <color indexed="8"/>
        <rFont val="Calibri"/>
        <family val="2"/>
      </rPr>
      <t>Valid through:</t>
    </r>
    <r>
      <rPr>
        <sz val="9"/>
        <color indexed="8"/>
        <rFont val="Calibri"/>
        <family val="2"/>
      </rPr>
      <t xml:space="preserve">  </t>
    </r>
  </si>
  <si>
    <r>
      <rPr>
        <b/>
        <sz val="9"/>
        <color indexed="8"/>
        <rFont val="Calibri"/>
        <family val="2"/>
      </rPr>
      <t>FOB Point:</t>
    </r>
    <r>
      <rPr>
        <sz val="9"/>
        <color indexed="8"/>
        <rFont val="Calibri"/>
        <family val="2"/>
      </rPr>
      <t xml:space="preserve">         None</t>
    </r>
  </si>
  <si>
    <t>Notes</t>
  </si>
  <si>
    <t>BD152049252KN</t>
  </si>
  <si>
    <t>NA</t>
  </si>
  <si>
    <t>Global Price List Emerging (USD)</t>
  </si>
  <si>
    <t>"This Price Estimate does not constitute an offer by CISCO to sell products, but is instead an invitation to issue a purchase order to CISCO until the valid date specified in this price estimate. Such a purchase order will be subject to Cisco's standard procedures, terms and conditions for the acceptance of purchase orders. This order may be subject to indirect tax (VAT, GST, sales tax or other indirect taxes), duty and freight charges even if not noted on this estimate."</t>
  </si>
  <si>
    <t>Sitecode</t>
  </si>
  <si>
    <t>100G</t>
  </si>
  <si>
    <t>10G</t>
  </si>
  <si>
    <t>5G connected (10G)</t>
  </si>
  <si>
    <t>10G total</t>
  </si>
  <si>
    <t>Fixed Service</t>
  </si>
  <si>
    <t>1G</t>
  </si>
  <si>
    <t>Total 1G</t>
  </si>
  <si>
    <t>STM-1</t>
  </si>
  <si>
    <t>AAN2078</t>
  </si>
  <si>
    <t>AAN2258</t>
  </si>
  <si>
    <t>DXB-3215-PREAGG-SR7-1</t>
  </si>
  <si>
    <t>DXB-1475</t>
  </si>
  <si>
    <t>New Site : 1/10G Qtys are assumed</t>
  </si>
  <si>
    <t>Total Optics:</t>
  </si>
  <si>
    <t>4 LR</t>
  </si>
  <si>
    <t>21 LR</t>
  </si>
  <si>
    <t>4 ER</t>
  </si>
  <si>
    <t>6 ER</t>
  </si>
  <si>
    <t>3 ZR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</si>
</sst>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indexed="8"/>
      <name val="Calibri"/>
      <family val="2"/>
      <scheme val="minor"/>
    </font>
    <font>
      <b/>
      <sz val="16"/>
      <color indexed="8"/>
      <name val="Helvetica"/>
      <family val="2"/>
    </font>
    <font>
      <b/>
      <sz val="11"/>
      <color indexed="10"/>
      <name val="Helvetica"/>
      <family val="2"/>
    </font>
    <font>
      <b/>
      <sz val="9"/>
      <color indexed="8"/>
      <name val="Helvetica"/>
      <family val="2"/>
    </font>
    <font>
      <sz val="9"/>
      <color indexed="8"/>
      <name val="Helvetica"/>
      <family val="2"/>
    </font>
    <font>
      <sz val="9"/>
      <color indexed="8"/>
      <name val="Helvetica"/>
      <family val="2"/>
    </font>
    <font>
      <sz val="9"/>
      <color indexed="8"/>
      <name val="Helvetica"/>
      <family val="2"/>
    </font>
    <font>
      <b/>
      <sz val="9"/>
      <color indexed="8"/>
      <name val="Helvetica"/>
      <family val="2"/>
    </font>
    <font>
      <sz val="9"/>
      <color indexed="8"/>
      <name val="Helvetica"/>
      <family val="2"/>
    </font>
    <font>
      <sz val="8"/>
      <color indexed="8"/>
      <name val="Calibri"/>
      <family val="2"/>
    </font>
    <font>
      <sz val="7"/>
      <color indexed="8"/>
      <name val="Helvetica"/>
      <family val="2"/>
    </font>
    <font>
      <b/>
      <sz val="9"/>
      <color indexed="8"/>
      <name val="Helvetica"/>
      <family val="2"/>
    </font>
    <font>
      <b/>
      <sz val="9"/>
      <color indexed="8"/>
      <name val="Calibri"/>
      <family val="2"/>
    </font>
    <font>
      <sz val="9"/>
      <color indexed="8"/>
      <name val="Calibri"/>
      <family val="2"/>
    </font>
    <font>
      <b/>
      <sz val="11"/>
      <color rgb="FFFFFFFF"/>
      <name val="Calibri"/>
      <family val="2"/>
    </font>
    <font>
      <b/>
      <sz val="11"/>
      <color theme="1"/>
      <name val="Calibri"/>
      <family val="2"/>
    </font>
    <font>
      <sz val="12"/>
      <color rgb="FF000000"/>
      <name val="Calibri"/>
      <family val="2"/>
    </font>
    <font>
      <b/>
      <sz val="12"/>
      <color rgb="FF000000"/>
      <name val="Calibri"/>
      <family val="2"/>
    </font>
    <font>
      <b/>
      <sz val="11"/>
      <color rgb="FF000000"/>
      <name val="Calibri"/>
      <family val="2"/>
    </font>
    <font>
      <sz val="11"/>
      <color rgb="FF000000"/>
      <name val="Calibri"/>
      <family val="2"/>
    </font>
    <font>
      <b/>
      <sz val="11"/>
      <color rgb="FF000000"/>
      <name val="Calibri"/>
      <family val="2"/>
      <scheme val="minor"/>
    </font>
    <font>
      <sz val="11"/>
      <color rgb="FF000000"/>
      <name val="Calibri"/>
      <family val="2"/>
      <scheme val="minor"/>
    </font>
  </fonts>
  <fills count="4">
    <fill>
      <patternFill patternType="none"/>
    </fill>
    <fill>
      <patternFill patternType="gray125"/>
    </fill>
    <fill>
      <patternFill patternType="solid">
        <fgColor indexed="55"/>
      </patternFill>
    </fill>
    <fill>
      <patternFill patternType="solid">
        <fgColor rgb="FFFFFF00"/>
        <bgColor indexed="64"/>
      </patternFill>
    </fill>
  </fills>
  <borders count="7">
    <border>
      <left/>
      <right/>
      <top/>
      <bottom/>
      <diagonal/>
    </border>
    <border>
      <left/>
      <right/>
      <top/>
      <bottom style="thin">
        <color indexed="8"/>
      </bottom>
      <diagonal/>
    </border>
    <border>
      <left/>
      <right/>
      <top/>
      <bottom style="medium">
        <color indexed="8"/>
      </bottom>
      <diagonal/>
    </border>
    <border>
      <left style="thin">
        <color indexed="22"/>
      </left>
      <right style="thin">
        <color indexed="22"/>
      </right>
      <top style="thin">
        <color indexed="22"/>
      </top>
      <bottom style="thin">
        <color indexed="22"/>
      </bottom>
      <diagonal/>
    </border>
    <border>
      <left/>
      <right style="thin">
        <color indexed="22"/>
      </right>
      <top style="thin">
        <color indexed="8"/>
      </top>
      <bottom style="thin">
        <color indexed="8"/>
      </bottom>
      <diagonal/>
    </border>
    <border>
      <left style="thin">
        <color indexed="22"/>
      </left>
      <right/>
      <top style="thin">
        <color indexed="8"/>
      </top>
      <bottom style="thin">
        <color indexed="8"/>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7">
    <xf numFmtId="0" fontId="0" fillId="0" borderId="0" xfId="0"/>
    <xf numFmtId="0" fontId="0" fillId="0" borderId="1" xfId="0" applyBorder="1"/>
    <xf numFmtId="0" fontId="0" fillId="0" borderId="2" xfId="0" applyBorder="1"/>
    <xf numFmtId="0" fontId="3" fillId="0" borderId="0" xfId="0" applyFont="1" applyAlignment="1">
      <alignment horizontal="left" vertical="center"/>
    </xf>
    <xf numFmtId="0" fontId="5" fillId="0" borderId="0" xfId="0" applyFont="1" applyAlignment="1">
      <alignment horizontal="right" vertical="center"/>
    </xf>
    <xf numFmtId="0" fontId="6" fillId="0" borderId="0" xfId="0" applyFont="1" applyAlignment="1">
      <alignment horizontal="center" vertical="center"/>
    </xf>
    <xf numFmtId="0" fontId="7" fillId="2" borderId="3" xfId="0" applyFont="1" applyFill="1"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7" fillId="2" borderId="3" xfId="0" applyFont="1" applyFill="1" applyBorder="1" applyAlignment="1">
      <alignment horizontal="center" vertical="center" wrapText="1"/>
    </xf>
    <xf numFmtId="0" fontId="8" fillId="0" borderId="3" xfId="0" applyFont="1" applyBorder="1" applyAlignment="1">
      <alignment horizontal="left" vertical="center" wrapText="1"/>
    </xf>
    <xf numFmtId="1" fontId="8" fillId="0" borderId="3" xfId="0" applyNumberFormat="1" applyFont="1" applyBorder="1" applyAlignment="1">
      <alignment horizontal="center" vertical="center" wrapText="1"/>
    </xf>
    <xf numFmtId="0" fontId="8" fillId="0" borderId="3" xfId="0" applyFont="1" applyBorder="1" applyAlignment="1">
      <alignment horizontal="left" vertical="top" wrapText="1"/>
    </xf>
    <xf numFmtId="0" fontId="11" fillId="0" borderId="3" xfId="0" applyFont="1" applyBorder="1" applyAlignment="1">
      <alignment horizontal="left" vertical="top" wrapText="1"/>
    </xf>
    <xf numFmtId="0" fontId="21" fillId="0" borderId="0" xfId="0" applyFont="1"/>
    <xf numFmtId="0" fontId="0" fillId="0" borderId="0" xfId="0" applyAlignment="1">
      <alignment horizontal="center"/>
    </xf>
    <xf numFmtId="0" fontId="16" fillId="0" borderId="6" xfId="0" applyFont="1" applyBorder="1" applyAlignment="1">
      <alignment horizontal="center" vertical="center"/>
    </xf>
    <xf numFmtId="0" fontId="17" fillId="0" borderId="6" xfId="0" applyFont="1" applyBorder="1" applyAlignment="1">
      <alignment horizontal="center" vertical="center"/>
    </xf>
    <xf numFmtId="0" fontId="18" fillId="0" borderId="6" xfId="0" applyFont="1" applyBorder="1" applyAlignment="1">
      <alignment horizontal="center" vertical="center"/>
    </xf>
    <xf numFmtId="0" fontId="19" fillId="0" borderId="6" xfId="0" applyFont="1" applyBorder="1" applyAlignment="1">
      <alignment horizontal="center" vertical="center"/>
    </xf>
    <xf numFmtId="0" fontId="0" fillId="0" borderId="6" xfId="0" applyBorder="1" applyAlignment="1">
      <alignment horizontal="center" vertical="center"/>
    </xf>
    <xf numFmtId="0" fontId="20" fillId="0" borderId="6" xfId="0" applyFont="1" applyBorder="1" applyAlignment="1">
      <alignment horizontal="center" vertical="center"/>
    </xf>
    <xf numFmtId="0" fontId="0" fillId="3" borderId="6" xfId="0" applyFill="1" applyBorder="1" applyAlignment="1">
      <alignment horizontal="center" vertical="center"/>
    </xf>
    <xf numFmtId="0" fontId="14" fillId="0" borderId="6" xfId="0" applyFont="1" applyBorder="1" applyAlignment="1">
      <alignment horizontal="center" vertical="center"/>
    </xf>
    <xf numFmtId="0" fontId="15" fillId="0" borderId="6" xfId="0" applyFont="1" applyBorder="1" applyAlignment="1">
      <alignment horizontal="center" vertical="center"/>
    </xf>
    <xf numFmtId="0" fontId="21" fillId="3" borderId="6" xfId="0" applyFont="1" applyFill="1" applyBorder="1" applyAlignment="1">
      <alignment horizontal="center" vertical="center"/>
    </xf>
    <xf numFmtId="0" fontId="0" fillId="0" borderId="0" xfId="0" applyAlignment="1">
      <alignment horizontal="center" vertical="center"/>
    </xf>
    <xf numFmtId="0" fontId="21" fillId="0" borderId="0" xfId="0" applyFont="1" applyAlignment="1">
      <alignment horizontal="center" vertical="center"/>
    </xf>
    <xf numFmtId="0" fontId="21" fillId="0" borderId="0" xfId="0" applyFont="1" applyAlignment="1">
      <alignment vertical="center"/>
    </xf>
    <xf numFmtId="0" fontId="10" fillId="0" borderId="0" xfId="0" applyFont="1" applyAlignment="1">
      <alignment horizontal="left" vertical="center" wrapText="1"/>
    </xf>
    <xf numFmtId="0" fontId="0" fillId="0" borderId="0" xfId="0"/>
    <xf numFmtId="0" fontId="3" fillId="0" borderId="0" xfId="0" applyFont="1" applyAlignment="1">
      <alignment horizontal="left" vertical="center"/>
    </xf>
    <xf numFmtId="0" fontId="9" fillId="0" borderId="0" xfId="0" applyFont="1" applyAlignment="1">
      <alignment horizontal="left" vertical="top" wrapText="1"/>
    </xf>
    <xf numFmtId="0" fontId="2" fillId="0" borderId="0" xfId="0" applyFont="1" applyAlignment="1">
      <alignment horizontal="center" vertical="center" wrapText="1"/>
    </xf>
    <xf numFmtId="0" fontId="0" fillId="0" borderId="5" xfId="0" applyBorder="1" applyAlignment="1">
      <alignment horizontal="left" vertical="center" wrapText="1"/>
    </xf>
    <xf numFmtId="0" fontId="4" fillId="0" borderId="0" xfId="0" applyFont="1" applyAlignment="1">
      <alignment horizontal="left" vertical="center" wrapText="1"/>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1</xdr:col>
      <xdr:colOff>0</xdr:colOff>
      <xdr:row>5</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562100" cy="742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N64"/>
  <sheetViews>
    <sheetView showGridLines="0" tabSelected="1" topLeftCell="A20" workbookViewId="0">
      <selection activeCell="E28" sqref="E28"/>
    </sheetView>
  </sheetViews>
  <sheetFormatPr defaultColWidth="14.85546875" defaultRowHeight="12.75" customHeight="1" x14ac:dyDescent="0.25"/>
  <cols>
    <col min="1" max="1" width="23.42578125" customWidth="1"/>
    <col min="2" max="2" width="31.140625" customWidth="1"/>
    <col min="3" max="3" width="29.7109375" bestFit="1" customWidth="1"/>
    <col min="5" max="5" width="23.42578125" bestFit="1" customWidth="1"/>
    <col min="6" max="6" width="5.28515625" bestFit="1" customWidth="1"/>
    <col min="7" max="7" width="4.42578125" bestFit="1" customWidth="1"/>
    <col min="8" max="8" width="17.7109375" bestFit="1" customWidth="1"/>
    <col min="9" max="9" width="8.85546875" bestFit="1" customWidth="1"/>
    <col min="10" max="10" width="11.85546875" bestFit="1" customWidth="1"/>
    <col min="11" max="11" width="3.42578125" bestFit="1" customWidth="1"/>
    <col min="12" max="12" width="8.140625" bestFit="1" customWidth="1"/>
    <col min="13" max="13" width="6.42578125" bestFit="1" customWidth="1"/>
    <col min="14" max="14" width="27.28515625" bestFit="1" customWidth="1"/>
  </cols>
  <sheetData>
    <row r="2" spans="1:3" ht="20.45" customHeight="1" x14ac:dyDescent="0.25">
      <c r="A2" s="36" t="s">
        <v>0</v>
      </c>
      <c r="B2" s="30"/>
      <c r="C2" s="30"/>
    </row>
    <row r="7" spans="1:3" ht="15" x14ac:dyDescent="0.25">
      <c r="A7" s="35" t="s">
        <v>1</v>
      </c>
      <c r="B7" s="30"/>
    </row>
    <row r="8" spans="1:3" ht="15" x14ac:dyDescent="0.25">
      <c r="A8" s="35" t="s">
        <v>2</v>
      </c>
      <c r="B8" s="30"/>
    </row>
    <row r="9" spans="1:3" ht="15" x14ac:dyDescent="0.25">
      <c r="A9" s="35" t="s">
        <v>3</v>
      </c>
      <c r="B9" s="30"/>
    </row>
    <row r="10" spans="1:3" ht="15" x14ac:dyDescent="0.25">
      <c r="A10" s="35" t="s">
        <v>4</v>
      </c>
      <c r="B10" s="30"/>
    </row>
    <row r="11" spans="1:3" ht="15" x14ac:dyDescent="0.25">
      <c r="A11" s="35" t="s">
        <v>5</v>
      </c>
      <c r="B11" s="30"/>
    </row>
    <row r="12" spans="1:3" ht="15" x14ac:dyDescent="0.25">
      <c r="A12" s="35" t="s">
        <v>6</v>
      </c>
      <c r="B12" s="30"/>
    </row>
    <row r="14" spans="1:3" ht="15.75" thickBot="1" x14ac:dyDescent="0.3">
      <c r="A14" s="2" t="s">
        <v>7</v>
      </c>
      <c r="B14" s="2" t="s">
        <v>7</v>
      </c>
      <c r="C14" s="2" t="s">
        <v>7</v>
      </c>
    </row>
    <row r="15" spans="1:3" ht="15" x14ac:dyDescent="0.25">
      <c r="A15" s="33" t="s">
        <v>8</v>
      </c>
      <c r="B15" s="30"/>
      <c r="C15" s="30"/>
    </row>
    <row r="16" spans="1:3" ht="12.75" customHeight="1" x14ac:dyDescent="0.25">
      <c r="A16" s="30"/>
      <c r="B16" s="30"/>
      <c r="C16" s="30"/>
    </row>
    <row r="17" spans="1:14" ht="15" x14ac:dyDescent="0.25">
      <c r="A17" s="3" t="s">
        <v>9</v>
      </c>
      <c r="C17" s="4" t="s">
        <v>78</v>
      </c>
    </row>
    <row r="18" spans="1:14" ht="15" x14ac:dyDescent="0.25">
      <c r="C18" s="4" t="s">
        <v>79</v>
      </c>
    </row>
    <row r="19" spans="1:14" ht="15" x14ac:dyDescent="0.25">
      <c r="C19" s="4" t="s">
        <v>80</v>
      </c>
    </row>
    <row r="20" spans="1:14" ht="15" x14ac:dyDescent="0.25"/>
    <row r="21" spans="1:14" ht="42" customHeight="1" x14ac:dyDescent="0.25">
      <c r="A21" s="6" t="s">
        <v>10</v>
      </c>
      <c r="B21" s="6" t="s">
        <v>11</v>
      </c>
      <c r="C21" s="9" t="s">
        <v>12</v>
      </c>
    </row>
    <row r="22" spans="1:14" ht="15" x14ac:dyDescent="0.25">
      <c r="A22" s="8" t="s">
        <v>7</v>
      </c>
      <c r="B22" s="34" t="s">
        <v>7</v>
      </c>
      <c r="C22" s="7" t="s">
        <v>7</v>
      </c>
    </row>
    <row r="23" spans="1:14" ht="24" x14ac:dyDescent="0.25">
      <c r="A23" s="13" t="s">
        <v>13</v>
      </c>
      <c r="B23" s="12" t="s">
        <v>14</v>
      </c>
      <c r="C23" s="11">
        <v>4</v>
      </c>
      <c r="E23" s="23" t="s">
        <v>82</v>
      </c>
      <c r="F23" s="24" t="s">
        <v>83</v>
      </c>
      <c r="G23" s="16" t="s">
        <v>84</v>
      </c>
      <c r="H23" s="16" t="s">
        <v>85</v>
      </c>
      <c r="I23" s="17" t="s">
        <v>86</v>
      </c>
      <c r="J23" s="16" t="s">
        <v>87</v>
      </c>
      <c r="K23" s="16" t="s">
        <v>88</v>
      </c>
      <c r="L23" s="17" t="s">
        <v>89</v>
      </c>
      <c r="M23" s="17" t="s">
        <v>90</v>
      </c>
      <c r="N23" s="17"/>
    </row>
    <row r="24" spans="1:14" ht="24" x14ac:dyDescent="0.25">
      <c r="A24" s="10" t="s">
        <v>15</v>
      </c>
      <c r="B24" s="12" t="s">
        <v>16</v>
      </c>
      <c r="C24" s="11">
        <v>4</v>
      </c>
      <c r="E24" s="18" t="s">
        <v>91</v>
      </c>
      <c r="F24" s="18">
        <v>2</v>
      </c>
      <c r="G24" s="19">
        <v>5</v>
      </c>
      <c r="H24" s="19">
        <v>2</v>
      </c>
      <c r="I24" s="19">
        <f>G24+H24</f>
        <v>7</v>
      </c>
      <c r="J24" s="19"/>
      <c r="K24" s="19">
        <v>10</v>
      </c>
      <c r="L24" s="19">
        <f>J24+K24</f>
        <v>10</v>
      </c>
      <c r="M24" s="20">
        <v>2</v>
      </c>
      <c r="N24" s="19"/>
    </row>
    <row r="25" spans="1:14" ht="15" x14ac:dyDescent="0.25">
      <c r="A25" s="10" t="s">
        <v>17</v>
      </c>
      <c r="B25" s="12" t="s">
        <v>18</v>
      </c>
      <c r="C25" s="11">
        <v>4</v>
      </c>
      <c r="E25" s="18" t="s">
        <v>92</v>
      </c>
      <c r="F25" s="18">
        <v>2</v>
      </c>
      <c r="G25" s="19">
        <v>12</v>
      </c>
      <c r="H25" s="19"/>
      <c r="I25" s="19">
        <f>G25+H25</f>
        <v>12</v>
      </c>
      <c r="J25" s="19"/>
      <c r="K25" s="19">
        <v>1</v>
      </c>
      <c r="L25" s="19">
        <f>J25+K25</f>
        <v>1</v>
      </c>
      <c r="M25" s="20">
        <v>1</v>
      </c>
      <c r="N25" s="19"/>
    </row>
    <row r="26" spans="1:14" ht="15" x14ac:dyDescent="0.25">
      <c r="A26" s="10" t="s">
        <v>19</v>
      </c>
      <c r="B26" s="12" t="s">
        <v>20</v>
      </c>
      <c r="C26" s="11">
        <v>8</v>
      </c>
      <c r="E26" s="21" t="s">
        <v>93</v>
      </c>
      <c r="F26" s="21">
        <v>2</v>
      </c>
      <c r="G26" s="20"/>
      <c r="H26" s="20"/>
      <c r="I26" s="19">
        <f t="shared" ref="I26:I27" si="0">G26+H26</f>
        <v>0</v>
      </c>
      <c r="J26" s="20">
        <v>8</v>
      </c>
      <c r="K26" s="20"/>
      <c r="L26" s="19">
        <f t="shared" ref="L26:L27" si="1">J26+K26</f>
        <v>8</v>
      </c>
      <c r="M26" s="20">
        <v>1</v>
      </c>
      <c r="N26" s="20"/>
    </row>
    <row r="27" spans="1:14" ht="24" x14ac:dyDescent="0.25">
      <c r="A27" s="10" t="s">
        <v>21</v>
      </c>
      <c r="B27" s="12" t="s">
        <v>22</v>
      </c>
      <c r="C27" s="11">
        <v>16</v>
      </c>
      <c r="E27" s="18" t="s">
        <v>94</v>
      </c>
      <c r="F27" s="18">
        <v>2</v>
      </c>
      <c r="G27" s="20">
        <v>10</v>
      </c>
      <c r="H27" s="20"/>
      <c r="I27" s="19">
        <f t="shared" si="0"/>
        <v>10</v>
      </c>
      <c r="J27" s="20"/>
      <c r="K27" s="20">
        <v>10</v>
      </c>
      <c r="L27" s="19">
        <f t="shared" si="1"/>
        <v>10</v>
      </c>
      <c r="M27" s="20"/>
      <c r="N27" s="20" t="s">
        <v>95</v>
      </c>
    </row>
    <row r="28" spans="1:14" ht="24" x14ac:dyDescent="0.25">
      <c r="A28" s="10" t="s">
        <v>23</v>
      </c>
      <c r="B28" s="12" t="s">
        <v>24</v>
      </c>
      <c r="C28" s="11">
        <v>8</v>
      </c>
      <c r="E28" s="25" t="s">
        <v>96</v>
      </c>
      <c r="F28" s="22">
        <f>SUM(F24:F27)</f>
        <v>8</v>
      </c>
      <c r="G28" s="22"/>
      <c r="H28" s="22"/>
      <c r="I28" s="22">
        <f>SUM(I24:I27)</f>
        <v>29</v>
      </c>
      <c r="J28" s="22"/>
      <c r="K28" s="22"/>
      <c r="L28" s="22">
        <f>SUM(L24:L27)</f>
        <v>29</v>
      </c>
      <c r="M28" s="22">
        <f>SUM(M24:M27)</f>
        <v>4</v>
      </c>
      <c r="N28" s="20"/>
    </row>
    <row r="29" spans="1:14" ht="24" x14ac:dyDescent="0.25">
      <c r="A29" s="10" t="s">
        <v>25</v>
      </c>
      <c r="B29" s="12" t="s">
        <v>26</v>
      </c>
      <c r="C29" s="11">
        <v>4</v>
      </c>
      <c r="E29" s="14"/>
      <c r="F29" s="27" t="s">
        <v>97</v>
      </c>
      <c r="G29" s="26"/>
      <c r="H29" s="26"/>
      <c r="I29" s="26" t="s">
        <v>98</v>
      </c>
      <c r="J29" s="26"/>
      <c r="K29" s="26"/>
      <c r="L29" s="26" t="s">
        <v>98</v>
      </c>
      <c r="M29" s="15"/>
    </row>
    <row r="30" spans="1:14" ht="15" x14ac:dyDescent="0.25">
      <c r="A30" s="10" t="s">
        <v>27</v>
      </c>
      <c r="B30" s="12" t="s">
        <v>28</v>
      </c>
      <c r="C30" s="11">
        <v>4</v>
      </c>
      <c r="E30" s="14"/>
      <c r="F30" s="27" t="s">
        <v>99</v>
      </c>
      <c r="G30" s="26"/>
      <c r="H30" s="26"/>
      <c r="I30" s="26" t="s">
        <v>100</v>
      </c>
      <c r="J30" s="26"/>
      <c r="K30" s="26"/>
      <c r="L30" s="26" t="s">
        <v>100</v>
      </c>
      <c r="M30" s="15"/>
    </row>
    <row r="31" spans="1:14" ht="24" x14ac:dyDescent="0.25">
      <c r="A31" s="10" t="s">
        <v>29</v>
      </c>
      <c r="B31" s="12" t="s">
        <v>30</v>
      </c>
      <c r="C31" s="11">
        <v>4</v>
      </c>
      <c r="E31" s="14"/>
      <c r="F31" s="28"/>
      <c r="G31" s="26"/>
      <c r="H31" s="26"/>
      <c r="I31" s="26" t="s">
        <v>101</v>
      </c>
      <c r="J31" s="26"/>
      <c r="K31" s="26"/>
      <c r="L31" s="26" t="s">
        <v>101</v>
      </c>
      <c r="M31" s="15"/>
    </row>
    <row r="32" spans="1:14" ht="24" x14ac:dyDescent="0.25">
      <c r="A32" s="10" t="s">
        <v>31</v>
      </c>
      <c r="B32" s="12" t="s">
        <v>32</v>
      </c>
      <c r="C32" s="11">
        <v>8</v>
      </c>
    </row>
    <row r="33" spans="1:3" ht="24" x14ac:dyDescent="0.25">
      <c r="A33" s="10" t="s">
        <v>33</v>
      </c>
      <c r="B33" s="12" t="s">
        <v>34</v>
      </c>
      <c r="C33" s="11">
        <v>8</v>
      </c>
    </row>
    <row r="34" spans="1:3" ht="15" x14ac:dyDescent="0.25">
      <c r="A34" s="10" t="s">
        <v>35</v>
      </c>
      <c r="B34" s="12" t="s">
        <v>36</v>
      </c>
      <c r="C34" s="11">
        <v>4</v>
      </c>
    </row>
    <row r="35" spans="1:3" ht="15" x14ac:dyDescent="0.25">
      <c r="A35" s="10" t="s">
        <v>37</v>
      </c>
      <c r="B35" s="12" t="s">
        <v>38</v>
      </c>
      <c r="C35" s="11">
        <v>4</v>
      </c>
    </row>
    <row r="36" spans="1:3" ht="24" x14ac:dyDescent="0.25">
      <c r="A36" s="10" t="s">
        <v>39</v>
      </c>
      <c r="B36" s="12" t="s">
        <v>40</v>
      </c>
      <c r="C36" s="11">
        <v>8</v>
      </c>
    </row>
    <row r="37" spans="1:3" ht="24" x14ac:dyDescent="0.25">
      <c r="A37" s="10" t="s">
        <v>41</v>
      </c>
      <c r="B37" s="12" t="s">
        <v>42</v>
      </c>
      <c r="C37" s="11">
        <v>8</v>
      </c>
    </row>
    <row r="38" spans="1:3" ht="24" x14ac:dyDescent="0.25">
      <c r="A38" s="10" t="s">
        <v>43</v>
      </c>
      <c r="B38" s="12" t="s">
        <v>44</v>
      </c>
      <c r="C38" s="11">
        <v>48</v>
      </c>
    </row>
    <row r="39" spans="1:3" ht="24" x14ac:dyDescent="0.25">
      <c r="A39" s="10" t="s">
        <v>45</v>
      </c>
      <c r="B39" s="12" t="s">
        <v>46</v>
      </c>
      <c r="C39" s="11">
        <v>48</v>
      </c>
    </row>
    <row r="40" spans="1:3" ht="24" x14ac:dyDescent="0.25">
      <c r="A40" s="10" t="s">
        <v>47</v>
      </c>
      <c r="B40" s="12" t="s">
        <v>48</v>
      </c>
      <c r="C40" s="11">
        <v>48</v>
      </c>
    </row>
    <row r="41" spans="1:3" ht="24" x14ac:dyDescent="0.25">
      <c r="A41" s="10" t="s">
        <v>49</v>
      </c>
      <c r="B41" s="12" t="s">
        <v>50</v>
      </c>
      <c r="C41" s="11">
        <v>48</v>
      </c>
    </row>
    <row r="42" spans="1:3" ht="24" x14ac:dyDescent="0.25">
      <c r="A42" s="10" t="s">
        <v>51</v>
      </c>
      <c r="B42" s="12" t="s">
        <v>52</v>
      </c>
      <c r="C42" s="11">
        <v>48</v>
      </c>
    </row>
    <row r="43" spans="1:3" ht="24" x14ac:dyDescent="0.25">
      <c r="A43" s="10" t="s">
        <v>53</v>
      </c>
      <c r="B43" s="12" t="s">
        <v>54</v>
      </c>
      <c r="C43" s="11">
        <v>48</v>
      </c>
    </row>
    <row r="44" spans="1:3" ht="15" x14ac:dyDescent="0.25">
      <c r="A44" s="10" t="s">
        <v>55</v>
      </c>
      <c r="B44" s="12" t="s">
        <v>56</v>
      </c>
      <c r="C44" s="11">
        <v>4</v>
      </c>
    </row>
    <row r="45" spans="1:3" ht="24" x14ac:dyDescent="0.25">
      <c r="A45" s="13" t="s">
        <v>57</v>
      </c>
      <c r="B45" s="12" t="s">
        <v>58</v>
      </c>
      <c r="C45" s="11">
        <v>21</v>
      </c>
    </row>
    <row r="46" spans="1:3" ht="24" x14ac:dyDescent="0.25">
      <c r="A46" s="13" t="s">
        <v>59</v>
      </c>
      <c r="B46" s="12" t="s">
        <v>60</v>
      </c>
      <c r="C46" s="11">
        <v>6</v>
      </c>
    </row>
    <row r="47" spans="1:3" ht="24" x14ac:dyDescent="0.25">
      <c r="A47" s="13" t="s">
        <v>61</v>
      </c>
      <c r="B47" s="12" t="s">
        <v>62</v>
      </c>
      <c r="C47" s="11">
        <v>3</v>
      </c>
    </row>
    <row r="48" spans="1:3" ht="15" x14ac:dyDescent="0.25">
      <c r="A48" s="13" t="s">
        <v>63</v>
      </c>
      <c r="B48" s="12" t="s">
        <v>64</v>
      </c>
      <c r="C48" s="11">
        <v>21</v>
      </c>
    </row>
    <row r="49" spans="1:3" ht="15" x14ac:dyDescent="0.25">
      <c r="A49" s="13" t="s">
        <v>65</v>
      </c>
      <c r="B49" s="12" t="s">
        <v>66</v>
      </c>
      <c r="C49" s="11">
        <v>6</v>
      </c>
    </row>
    <row r="50" spans="1:3" ht="24" x14ac:dyDescent="0.25">
      <c r="A50" s="13" t="s">
        <v>67</v>
      </c>
      <c r="B50" s="12" t="s">
        <v>68</v>
      </c>
      <c r="C50" s="11">
        <v>3</v>
      </c>
    </row>
    <row r="51" spans="1:3" ht="24" x14ac:dyDescent="0.25">
      <c r="A51" s="13" t="s">
        <v>69</v>
      </c>
      <c r="B51" s="12" t="s">
        <v>70</v>
      </c>
      <c r="C51" s="11">
        <v>4</v>
      </c>
    </row>
    <row r="52" spans="1:3" ht="24" x14ac:dyDescent="0.25">
      <c r="A52" s="13" t="s">
        <v>71</v>
      </c>
      <c r="B52" s="12" t="s">
        <v>72</v>
      </c>
      <c r="C52" s="11">
        <v>4</v>
      </c>
    </row>
    <row r="53" spans="1:3" ht="24" x14ac:dyDescent="0.25">
      <c r="A53" s="13" t="s">
        <v>73</v>
      </c>
      <c r="B53" s="12" t="s">
        <v>74</v>
      </c>
      <c r="C53" s="11">
        <v>4</v>
      </c>
    </row>
    <row r="54" spans="1:3" ht="15.75" thickBot="1" x14ac:dyDescent="0.3">
      <c r="A54" s="2" t="s">
        <v>7</v>
      </c>
      <c r="B54" s="2" t="s">
        <v>7</v>
      </c>
      <c r="C54" s="2" t="s">
        <v>7</v>
      </c>
    </row>
    <row r="56" spans="1:3" ht="15" x14ac:dyDescent="0.25">
      <c r="A56" s="31" t="s">
        <v>75</v>
      </c>
      <c r="B56" s="30"/>
    </row>
    <row r="57" spans="1:3" ht="15" x14ac:dyDescent="0.25">
      <c r="A57" s="31" t="s">
        <v>76</v>
      </c>
      <c r="B57" s="30"/>
    </row>
    <row r="58" spans="1:3" ht="15" x14ac:dyDescent="0.25">
      <c r="A58" s="30" t="s">
        <v>77</v>
      </c>
      <c r="B58" s="30"/>
    </row>
    <row r="59" spans="1:3" ht="15" x14ac:dyDescent="0.25">
      <c r="A59" s="32" t="s">
        <v>7</v>
      </c>
      <c r="B59" s="30"/>
      <c r="C59" s="1" t="s">
        <v>7</v>
      </c>
    </row>
    <row r="60" spans="1:3" ht="21.95" customHeight="1" x14ac:dyDescent="0.25">
      <c r="A60" s="30"/>
      <c r="B60" s="30"/>
      <c r="C60" s="5" t="s">
        <v>1</v>
      </c>
    </row>
    <row r="61" spans="1:3" ht="15.75" thickBot="1" x14ac:dyDescent="0.3">
      <c r="A61" s="2" t="s">
        <v>7</v>
      </c>
      <c r="B61" s="2" t="s">
        <v>7</v>
      </c>
      <c r="C61" s="2" t="s">
        <v>7</v>
      </c>
    </row>
    <row r="62" spans="1:3" ht="15" x14ac:dyDescent="0.25">
      <c r="A62" s="29" t="s">
        <v>81</v>
      </c>
      <c r="B62" s="30"/>
      <c r="C62" s="30"/>
    </row>
    <row r="63" spans="1:3" ht="12.75" customHeight="1" x14ac:dyDescent="0.25">
      <c r="A63" s="30"/>
      <c r="B63" s="30"/>
      <c r="C63" s="30"/>
    </row>
    <row r="64" spans="1:3" ht="12.75" customHeight="1" x14ac:dyDescent="0.25">
      <c r="A64" s="30"/>
      <c r="B64" s="30"/>
      <c r="C64" s="30"/>
    </row>
  </sheetData>
  <mergeCells count="14">
    <mergeCell ref="A15:C16"/>
    <mergeCell ref="B22"/>
    <mergeCell ref="A11:B11"/>
    <mergeCell ref="A12:B12"/>
    <mergeCell ref="A2:C2"/>
    <mergeCell ref="A7:B7"/>
    <mergeCell ref="A8:B8"/>
    <mergeCell ref="A9:B9"/>
    <mergeCell ref="A10:B10"/>
    <mergeCell ref="A62:C64"/>
    <mergeCell ref="A56:B56"/>
    <mergeCell ref="A57:B57"/>
    <mergeCell ref="A58:B58"/>
    <mergeCell ref="A59:B60"/>
  </mergeCells>
  <printOptions horizontalCentered="1"/>
  <pageMargins left="0.7" right="0.7" top="0.75" bottom="0.75" header="0.3" footer="0.3"/>
  <pageSetup paperSize="9"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Price Estimate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waleed shtawi</cp:lastModifiedBy>
  <dcterms:created xsi:type="dcterms:W3CDTF">2024-02-16T07:37:56Z</dcterms:created>
  <dcterms:modified xsi:type="dcterms:W3CDTF">2024-02-20T19:25:28Z</dcterms:modified>
</cp:coreProperties>
</file>